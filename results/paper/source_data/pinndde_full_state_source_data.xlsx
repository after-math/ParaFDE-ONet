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412f1928e43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" sheetId="1" r:id="Rfc1a94af080443c5"/>
    <x:sheet xmlns:r="http://schemas.openxmlformats.org/officeDocument/2006/relationships" name="Summary" sheetId="2" r:id="R20cfd37671d84cdb"/>
    <x:sheet xmlns:r="http://schemas.openxmlformats.org/officeDocument/2006/relationships" name="Protocol" sheetId="3" r:id="R7939a72d5c5a4e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"/>
    <x:numFmt numFmtId="202" formatCode="0.000000"/>
    <x:numFmt numFmtId="203" formatCode="0.0"/>
  </x:numFmts>
  <x:fonts count="5">
    <x:font>
      <x:sz val="11"/>
      <x:name val="Carlito"/>
    </x:font>
    <x:font>
      <x:b/>
      <x:sz val="9"/>
      <x:color rgb="FFFFFFFF"/>
      <x:name val="Carlito"/>
    </x:font>
    <x:font>
      <x:sz val="8"/>
      <x:name val="Carlito"/>
    </x:font>
    <x:font>
      <x:sz val="9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A70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AEB8BE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/>
    <x:xf numFmtId="200" fontId="2" fillId="0" borderId="2" xfId="0" applyNumberFormat="1" applyFont="1" applyFill="1" applyBorder="1"/>
    <x:xf numFmtId="201" fontId="2" fillId="0" borderId="2" xfId="0" applyNumberFormat="1" applyFont="1" applyFill="1" applyBorder="1"/>
    <x:xf numFmtId="202" fontId="2" fillId="0" borderId="2" xfId="0" applyNumberFormat="1" applyFont="1" applyFill="1" applyBorder="1"/>
    <x:xf numFmtId="0" fontId="2" fillId="0" borderId="3" xfId="0" applyNumberFormat="1" applyFont="1" applyFill="1" applyBorder="1"/>
    <x:xf numFmtId="200" fontId="2" fillId="0" borderId="3" xfId="0" applyNumberFormat="1" applyFont="1" applyFill="1" applyBorder="1"/>
    <x:xf numFmtId="201" fontId="2" fillId="0" borderId="3" xfId="0" applyNumberFormat="1" applyFont="1" applyFill="1" applyBorder="1"/>
    <x:xf numFmtId="202" fontId="2" fillId="0" borderId="3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2" xfId="0" applyNumberFormat="1" applyFont="1" applyFill="1" applyBorder="1"/>
    <x:xf numFmtId="201" fontId="3" fillId="0" borderId="2" xfId="0" applyNumberFormat="1" applyFont="1" applyFill="1" applyBorder="1"/>
    <x:xf numFmtId="200" fontId="3" fillId="0" borderId="2" xfId="0" applyNumberFormat="1" applyFont="1" applyFill="1" applyBorder="1"/>
    <x:xf numFmtId="202" fontId="3" fillId="0" borderId="2" xfId="0" applyNumberFormat="1" applyFont="1" applyFill="1" applyBorder="1"/>
    <x:xf numFmtId="203" fontId="3" fillId="0" borderId="2" xfId="0" applyNumberFormat="1" applyFont="1" applyFill="1" applyBorder="1"/>
    <x:xf numFmtId="0" fontId="3" fillId="0" borderId="3" xfId="0" applyNumberFormat="1" applyFont="1" applyFill="1" applyBorder="1"/>
    <x:xf numFmtId="201" fontId="3" fillId="0" borderId="3" xfId="0" applyNumberFormat="1" applyFont="1" applyFill="1" applyBorder="1"/>
    <x:xf numFmtId="200" fontId="3" fillId="0" borderId="3" xfId="0" applyNumberFormat="1" applyFont="1" applyFill="1" applyBorder="1"/>
    <x:xf numFmtId="202" fontId="3" fillId="0" borderId="3" xfId="0" applyNumberFormat="1" applyFont="1" applyFill="1" applyBorder="1"/>
    <x:xf numFmtId="203" fontId="3" fillId="0" borderId="3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3" fillId="0" borderId="2" xfId="0" applyNumberFormat="1" applyFont="1" applyFill="1" applyBorder="1" applyAlignment="1">
      <x:alignment horizontal="left"/>
    </x:xf>
    <x:xf numFmtId="0" fontId="3" fillId="0" borderId="3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horizontal="left"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f814097ac4b06" /><Relationship Type="http://schemas.openxmlformats.org/officeDocument/2006/relationships/theme" Target="/xl/theme/theme1.xml" Id="R4626dbb17b1c485a" /><Relationship Type="http://schemas.openxmlformats.org/officeDocument/2006/relationships/sharedStrings" Target="/xl/sharedStrings.xml" Id="R6892d1ca6d9e4788" /><Relationship Type="http://schemas.openxmlformats.org/officeDocument/2006/relationships/worksheet" Target="/xl/worksheets/sheet1.xml" Id="Rfc1a94af080443c5" /><Relationship Type="http://schemas.openxmlformats.org/officeDocument/2006/relationships/worksheet" Target="/xl/worksheets/sheet2.xml" Id="R20cfd37671d84cdb" /><Relationship Type="http://schemas.openxmlformats.org/officeDocument/2006/relationships/worksheet" Target="/xl/worksheets/sheet3.xml" Id="R7939a72d5c5a4e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.329999923706055" hidden="0" customWidth="1"/>
    <x:col min="3" max="3" width="7.559999942779541" hidden="0" customWidth="1"/>
    <x:col min="4" max="4" width="16.670000076293945" hidden="0" customWidth="1"/>
    <x:col min="5" max="5" width="9.109999656677246" hidden="0" customWidth="1"/>
    <x:col min="6" max="6" width="20.110000610351562" hidden="0" customWidth="1"/>
    <x:col min="7" max="7" width="14.5600004196167" hidden="0" customWidth="1"/>
    <x:col min="8" max="8" width="16.889999389648438" hidden="0" customWidth="1"/>
    <x:col min="9" max="9" width="18.670000076293945" hidden="0" customWidth="1"/>
    <x:col min="10" max="10" width="16.889999389648438" hidden="0" customWidth="1"/>
    <x:col min="11" max="11" width="21.219999313354492" hidden="0" customWidth="1"/>
    <x:col min="12" max="12" width="20.219999313354492" hidden="0" customWidth="1"/>
    <x:col min="13" max="13" width="18.440000534057617" hidden="0" customWidth="1"/>
    <x:col min="14" max="14" width="14.4399995803833" hidden="0" customWidth="1"/>
    <x:col min="15" max="15" width="12" hidden="0" customWidth="1"/>
    <x:col min="16" max="16" width="15.670000076293945" hidden="0" customWidth="1"/>
    <x:col min="17" max="17" width="15.220000267028809" hidden="0" customWidth="1"/>
    <x:col min="18" max="18" width="18.329999923706055" hidden="0" customWidth="1"/>
    <x:col min="19" max="19" width="16" hidden="0" customWidth="1"/>
    <x:col min="20" max="20" width="11.670000076293945" hidden="0" customWidth="1"/>
    <x:col min="21" max="21" width="15.4399995803833" hidden="0" customWidth="1"/>
    <x:col min="22" max="22" width="18.440000534057617" hidden="0" customWidth="1"/>
    <x:col min="23" max="23" width="16" hidden="0" customWidth="1"/>
    <x:col min="24" max="24" width="11.670000076293945" hidden="0" customWidth="1"/>
    <x:col min="25" max="25" width="15.4399995803833" hidden="0" customWidth="1"/>
    <x:col min="26" max="26" width="18.440000534057617" hidden="0" customWidth="1"/>
    <x:col min="27" max="27" width="42" hidden="0" customWidth="1"/>
  </x:cols>
  <x:sheetData>
    <x:row r="1" ht="42" customHeight="1">
      <x:c r="A1" s="9" t="str">
        <x:v>system</x:v>
      </x:c>
      <x:c r="B1" s="9" t="str">
        <x:v>experiment_seed</x:v>
      </x:c>
      <x:c r="C1" s="9" t="str">
        <x:v>case_index</x:v>
      </x:c>
      <x:c r="D1" s="9" t="str">
        <x:v>noise_standard_deviation</x:v>
      </x:c>
      <x:c r="E1" s="9" t="str">
        <x:v>history_count</x:v>
      </x:c>
      <x:c r="F1" s="9" t="str">
        <x:v>observation_count_per_history</x:v>
      </x:c>
      <x:c r="G1" s="9" t="str">
        <x:v>observed_state_count</x:v>
      </x:c>
      <x:c r="H1" s="9" t="str">
        <x:v>scalar_observation_count</x:v>
      </x:c>
      <x:c r="I1" s="9" t="str">
        <x:v>parameter_normalized_rmse</x:v>
      </x:c>
      <x:c r="J1" s="9" t="str">
        <x:v>parameter_physical_rmse</x:v>
      </x:c>
      <x:c r="K1" s="9" t="str">
        <x:v>direct_reconstruction_relative_l2</x:v>
      </x:c>
      <x:c r="L1" s="9" t="str">
        <x:v>pinn_reconstruction_relative_l2</x:v>
      </x:c>
      <x:c r="M1" s="9" t="str">
        <x:v>online_end_to_end_seconds</x:v>
      </x:c>
      <x:c r="N1" s="9" t="str">
        <x:v>optimization_seconds</x:v>
      </x:c>
      <x:c r="O1" s="9" t="str">
        <x:v>status</x:v>
      </x:c>
      <x:c r="P1" s="9" t="str">
        <x:v>adam_steps_completed</x:v>
      </x:c>
      <x:c r="Q1" s="9" t="str">
        <x:v>lbfgs_steps_completed</x:v>
      </x:c>
      <x:c r="R1" s="9" t="str">
        <x:v>selected_initialization_index</x:v>
      </x:c>
      <x:c r="S1" s="9" t="str">
        <x:v>parameter_1_name</x:v>
      </x:c>
      <x:c r="T1" s="9" t="str">
        <x:v>true_parameter_1</x:v>
      </x:c>
      <x:c r="U1" s="9" t="str">
        <x:v>estimated_parameter_1</x:v>
      </x:c>
      <x:c r="V1" s="9" t="str">
        <x:v>parameter_1_absolute_error</x:v>
      </x:c>
      <x:c r="W1" s="9" t="str">
        <x:v>parameter_2_name</x:v>
      </x:c>
      <x:c r="X1" s="9" t="str">
        <x:v>true_parameter_2</x:v>
      </x:c>
      <x:c r="Y1" s="9" t="str">
        <x:v>estimated_parameter_2</x:v>
      </x:c>
      <x:c r="Z1" s="9" t="str">
        <x:v>parameter_2_absolute_error</x:v>
      </x:c>
      <x:c r="AA1" s="9" t="str">
        <x:v>source_run_id</x:v>
      </x:c>
    </x:row>
    <x:row r="2">
      <x:c r="A2" s="10" t="str">
        <x:v>Competition</x:v>
      </x:c>
      <x:c r="B2" s="11" t="n">
        <x:v>20261001</x:v>
      </x:c>
      <x:c r="C2" s="11" t="n">
        <x:v>0</x:v>
      </x:c>
      <x:c r="D2" s="12" t="n">
        <x:v>0.005</x:v>
      </x:c>
      <x:c r="E2" s="11" t="n">
        <x:v>1</x:v>
      </x:c>
      <x:c r="F2" s="11" t="n">
        <x:v>20</x:v>
      </x:c>
      <x:c r="G2" s="11" t="n">
        <x:v>2</x:v>
      </x:c>
      <x:c r="H2" s="11" t="n">
        <x:v>40</x:v>
      </x:c>
      <x:c r="I2" s="13" t="n">
        <x:v>0.0035304111851704838</x:v>
      </x:c>
      <x:c r="J2" s="13" t="n">
        <x:v>0.0021182467111022897</x:v>
      </x:c>
      <x:c r="K2" s="13" t="n">
        <x:v>0.0008115307125891786</x:v>
      </x:c>
      <x:c r="L2" s="13" t="n">
        <x:v>0.0030380121301751754</x:v>
      </x:c>
      <x:c r="M2" s="13" t="n">
        <x:v>1108.0327897528186</x:v>
      </x:c>
      <x:c r="N2" s="13" t="n">
        <x:v>1106.752793900203</x:v>
      </x:c>
      <x:c r="O2" s="10" t="str">
        <x:v>completed</x:v>
      </x:c>
      <x:c r="P2" s="11" t="n">
        <x:v>5000</x:v>
      </x:c>
      <x:c r="Q2" s="11" t="n">
        <x:v>10000</x:v>
      </x:c>
      <x:c r="R2" s="11" t="n">
        <x:v>3</x:v>
      </x:c>
      <x:c r="S2" s="10" t="str">
        <x:v>r1</x:v>
      </x:c>
      <x:c r="T2" s="13" t="n">
        <x:v>1.19</x:v>
      </x:c>
      <x:c r="U2" s="13" t="n">
        <x:v>1.191990852355957</x:v>
      </x:c>
      <x:c r="V2" s="13" t="n">
        <x:v>0.0019908523559570845</x:v>
      </x:c>
      <x:c r="W2" s="13" t="str">
        <x:v>r2</x:v>
      </x:c>
      <x:c r="X2" s="13" t="n">
        <x:v>1.01</x:v>
      </x:c>
      <x:c r="Y2" s="13" t="n">
        <x:v>1.0077615976333618</x:v>
      </x:c>
      <x:c r="Z2" s="13" t="n">
        <x:v>0.0022384023666381925</x:v>
      </x:c>
      <x:c r="AA2" s="10" t="str">
        <x:v>competition_three_method_inverse_20260822_063907_seed_20261001</x:v>
      </x:c>
    </x:row>
    <x:row r="3">
      <x:c r="A3" s="10" t="str">
        <x:v>Competition</x:v>
      </x:c>
      <x:c r="B3" s="11" t="n">
        <x:v>20261001</x:v>
      </x:c>
      <x:c r="C3" s="11" t="n">
        <x:v>1</x:v>
      </x:c>
      <x:c r="D3" s="12" t="n">
        <x:v>0.005</x:v>
      </x:c>
      <x:c r="E3" s="11" t="n">
        <x:v>1</x:v>
      </x:c>
      <x:c r="F3" s="11" t="n">
        <x:v>20</x:v>
      </x:c>
      <x:c r="G3" s="11" t="n">
        <x:v>2</x:v>
      </x:c>
      <x:c r="H3" s="11" t="n">
        <x:v>40</x:v>
      </x:c>
      <x:c r="I3" s="13" t="n">
        <x:v>0.01783800142668191</x:v>
      </x:c>
      <x:c r="J3" s="13" t="n">
        <x:v>0.010702800856009144</x:v>
      </x:c>
      <x:c r="K3" s="13" t="n">
        <x:v>0.001683093023232148</x:v>
      </x:c>
      <x:c r="L3" s="13" t="n">
        <x:v>0.002397082014443847</x:v>
      </x:c>
      <x:c r="M3" s="13" t="n">
        <x:v>980.0394547991455</x:v>
      </x:c>
      <x:c r="N3" s="13" t="n">
        <x:v>978.675870437175</x:v>
      </x:c>
      <x:c r="O3" s="10" t="str">
        <x:v>completed</x:v>
      </x:c>
      <x:c r="P3" s="11" t="n">
        <x:v>5000</x:v>
      </x:c>
      <x:c r="Q3" s="11" t="n">
        <x:v>10000</x:v>
      </x:c>
      <x:c r="R3" s="11" t="n">
        <x:v>2</x:v>
      </x:c>
      <x:c r="S3" s="10" t="str">
        <x:v>r1</x:v>
      </x:c>
      <x:c r="T3" s="13" t="n">
        <x:v>1.07</x:v>
      </x:c>
      <x:c r="U3" s="13" t="n">
        <x:v>1.0748716592788696</x:v>
      </x:c>
      <x:c r="V3" s="13" t="n">
        <x:v>0.004871659278869567</x:v>
      </x:c>
      <x:c r="W3" s="13" t="str">
        <x:v>r2</x:v>
      </x:c>
      <x:c r="X3" s="13" t="n">
        <x:v>1.25</x:v>
      </x:c>
      <x:c r="Y3" s="13" t="n">
        <x:v>1.2643306255340576</x:v>
      </x:c>
      <x:c r="Z3" s="13" t="n">
        <x:v>0.014330625534057617</x:v>
      </x:c>
      <x:c r="AA3" s="10" t="str">
        <x:v>competition_three_method_inverse_20260822_063907_seed_20261001</x:v>
      </x:c>
    </x:row>
    <x:row r="4">
      <x:c r="A4" s="10" t="str">
        <x:v>Competition</x:v>
      </x:c>
      <x:c r="B4" s="11" t="n">
        <x:v>20261001</x:v>
      </x:c>
      <x:c r="C4" s="11" t="n">
        <x:v>2</x:v>
      </x:c>
      <x:c r="D4" s="12" t="n">
        <x:v>0.005</x:v>
      </x:c>
      <x:c r="E4" s="11" t="n">
        <x:v>1</x:v>
      </x:c>
      <x:c r="F4" s="11" t="n">
        <x:v>20</x:v>
      </x:c>
      <x:c r="G4" s="11" t="n">
        <x:v>2</x:v>
      </x:c>
      <x:c r="H4" s="11" t="n">
        <x:v>40</x:v>
      </x:c>
      <x:c r="I4" s="13" t="n">
        <x:v>0.02205387997581424</x:v>
      </x:c>
      <x:c r="J4" s="13" t="n">
        <x:v>0.01323232798548854</x:v>
      </x:c>
      <x:c r="K4" s="13" t="n">
        <x:v>0.0030121517539527126</x:v>
      </x:c>
      <x:c r="L4" s="13" t="n">
        <x:v>0.003318208582989089</x:v>
      </x:c>
      <x:c r="M4" s="13" t="n">
        <x:v>1159.7465594252571</x:v>
      </x:c>
      <x:c r="N4" s="13" t="n">
        <x:v>1159.728910725098</x:v>
      </x:c>
      <x:c r="O4" s="10" t="str">
        <x:v>completed</x:v>
      </x:c>
      <x:c r="P4" s="11" t="n">
        <x:v>5000</x:v>
      </x:c>
      <x:c r="Q4" s="11" t="n">
        <x:v>10000</x:v>
      </x:c>
      <x:c r="R4" s="11" t="n">
        <x:v>3</x:v>
      </x:c>
      <x:c r="S4" s="10" t="str">
        <x:v>r1</x:v>
      </x:c>
      <x:c r="T4" s="13" t="n">
        <x:v>0.89</x:v>
      </x:c>
      <x:c r="U4" s="13" t="n">
        <x:v>0.8917626142501831</x:v>
      </x:c>
      <x:c r="V4" s="13" t="n">
        <x:v>0.0017626142501830921</x:v>
      </x:c>
      <x:c r="W4" s="13" t="str">
        <x:v>r2</x:v>
      </x:c>
      <x:c r="X4" s="13" t="n">
        <x:v>1.3699999999999999</x:v>
      </x:c>
      <x:c r="Y4" s="13" t="n">
        <x:v>1.351369857788086</x:v>
      </x:c>
      <x:c r="Z4" s="13" t="n">
        <x:v>0.018630142211913947</x:v>
      </x:c>
      <x:c r="AA4" s="10" t="str">
        <x:v>competition_three_method_inverse_20260822_063907_seed_20261001</x:v>
      </x:c>
    </x:row>
    <x:row r="5">
      <x:c r="A5" s="10" t="str">
        <x:v>Competition</x:v>
      </x:c>
      <x:c r="B5" s="11" t="n">
        <x:v>20261001</x:v>
      </x:c>
      <x:c r="C5" s="11" t="n">
        <x:v>3</x:v>
      </x:c>
      <x:c r="D5" s="12" t="n">
        <x:v>0.005</x:v>
      </x:c>
      <x:c r="E5" s="11" t="n">
        <x:v>1</x:v>
      </x:c>
      <x:c r="F5" s="11" t="n">
        <x:v>20</x:v>
      </x:c>
      <x:c r="G5" s="11" t="n">
        <x:v>2</x:v>
      </x:c>
      <x:c r="H5" s="11" t="n">
        <x:v>40</x:v>
      </x:c>
      <x:c r="I5" s="13" t="n">
        <x:v>0.01340268204843254</x:v>
      </x:c>
      <x:c r="J5" s="13" t="n">
        <x:v>0.008041609229059523</x:v>
      </x:c>
      <x:c r="K5" s="13" t="n">
        <x:v>0.004229486877670495</x:v>
      </x:c>
      <x:c r="L5" s="13" t="n">
        <x:v>0.003166846336528221</x:v>
      </x:c>
      <x:c r="M5" s="13" t="n">
        <x:v>1064.024211818818</x:v>
      </x:c>
      <x:c r="N5" s="13" t="n">
        <x:v>1064.0064873457886</x:v>
      </x:c>
      <x:c r="O5" s="10" t="str">
        <x:v>completed</x:v>
      </x:c>
      <x:c r="P5" s="11" t="n">
        <x:v>5000</x:v>
      </x:c>
      <x:c r="Q5" s="11" t="n">
        <x:v>10000</x:v>
      </x:c>
      <x:c r="R5" s="11" t="n">
        <x:v>1</x:v>
      </x:c>
      <x:c r="S5" s="10" t="str">
        <x:v>r1</x:v>
      </x:c>
      <x:c r="T5" s="13" t="n">
        <x:v>0.8300000000000001</x:v>
      </x:c>
      <x:c r="U5" s="13" t="n">
        <x:v>0.8399288654327393</x:v>
      </x:c>
      <x:c r="V5" s="13" t="n">
        <x:v>0.009928865432739187</x:v>
      </x:c>
      <x:c r="W5" s="13" t="str">
        <x:v>r2</x:v>
      </x:c>
      <x:c r="X5" s="13" t="n">
        <x:v>1.13</x:v>
      </x:c>
      <x:c r="Y5" s="13" t="n">
        <x:v>1.1244544982910156</x:v>
      </x:c>
      <x:c r="Z5" s="13" t="n">
        <x:v>0.005545501708984268</x:v>
      </x:c>
      <x:c r="AA5" s="10" t="str">
        <x:v>competition_three_method_inverse_20260822_063907_seed_20261001</x:v>
      </x:c>
    </x:row>
    <x:row r="6">
      <x:c r="A6" s="10" t="str">
        <x:v>Competition</x:v>
      </x:c>
      <x:c r="B6" s="11" t="n">
        <x:v>20261001</x:v>
      </x:c>
      <x:c r="C6" s="11" t="n">
        <x:v>4</x:v>
      </x:c>
      <x:c r="D6" s="12" t="n">
        <x:v>0.005</x:v>
      </x:c>
      <x:c r="E6" s="11" t="n">
        <x:v>1</x:v>
      </x:c>
      <x:c r="F6" s="11" t="n">
        <x:v>20</x:v>
      </x:c>
      <x:c r="G6" s="11" t="n">
        <x:v>2</x:v>
      </x:c>
      <x:c r="H6" s="11" t="n">
        <x:v>40</x:v>
      </x:c>
      <x:c r="I6" s="13" t="n">
        <x:v>0.01372041294057643</x:v>
      </x:c>
      <x:c r="J6" s="13" t="n">
        <x:v>0.008232247764345856</x:v>
      </x:c>
      <x:c r="K6" s="13" t="n">
        <x:v>0.001437025322623463</x:v>
      </x:c>
      <x:c r="L6" s="13" t="n">
        <x:v>0.0026458519022139752</x:v>
      </x:c>
      <x:c r="M6" s="13" t="n">
        <x:v>1496.8528938842937</x:v>
      </x:c>
      <x:c r="N6" s="13" t="n">
        <x:v>1496.8310474790633</x:v>
      </x:c>
      <x:c r="O6" s="10" t="str">
        <x:v>completed</x:v>
      </x:c>
      <x:c r="P6" s="11" t="n">
        <x:v>5000</x:v>
      </x:c>
      <x:c r="Q6" s="11" t="n">
        <x:v>10000</x:v>
      </x:c>
      <x:c r="R6" s="11" t="n">
        <x:v>2</x:v>
      </x:c>
      <x:c r="S6" s="10" t="str">
        <x:v>r1</x:v>
      </x:c>
      <x:c r="T6" s="13" t="n">
        <x:v>1.13</x:v>
      </x:c>
      <x:c r="U6" s="13" t="n">
        <x:v>1.1375783681869507</x:v>
      </x:c>
      <x:c r="V6" s="13" t="n">
        <x:v>0.00757836818695079</x:v>
      </x:c>
      <x:c r="W6" s="13" t="str">
        <x:v>r2</x:v>
      </x:c>
      <x:c r="X6" s="13" t="n">
        <x:v>1.31</x:v>
      </x:c>
      <x:c r="Y6" s="13" t="n">
        <x:v>1.3188378810882568</x:v>
      </x:c>
      <x:c r="Z6" s="13" t="n">
        <x:v>0.008837881088256783</x:v>
      </x:c>
      <x:c r="AA6" s="10" t="str">
        <x:v>competition_three_method_inverse_20260822_063907_seed_20261001</x:v>
      </x:c>
    </x:row>
    <x:row r="7">
      <x:c r="A7" s="10" t="str">
        <x:v>Competition</x:v>
      </x:c>
      <x:c r="B7" s="11" t="n">
        <x:v>20261001</x:v>
      </x:c>
      <x:c r="C7" s="11" t="n">
        <x:v>5</x:v>
      </x:c>
      <x:c r="D7" s="12" t="n">
        <x:v>0.005</x:v>
      </x:c>
      <x:c r="E7" s="11" t="n">
        <x:v>1</x:v>
      </x:c>
      <x:c r="F7" s="11" t="n">
        <x:v>20</x:v>
      </x:c>
      <x:c r="G7" s="11" t="n">
        <x:v>2</x:v>
      </x:c>
      <x:c r="H7" s="11" t="n">
        <x:v>40</x:v>
      </x:c>
      <x:c r="I7" s="13" t="n">
        <x:v>0.01778785830454571</x:v>
      </x:c>
      <x:c r="J7" s="13" t="n">
        <x:v>0.010672714982727424</x:v>
      </x:c>
      <x:c r="K7" s="13" t="n">
        <x:v>0.0027219905736600982</x:v>
      </x:c>
      <x:c r="L7" s="13" t="n">
        <x:v>0.0029728802860207715</x:v>
      </x:c>
      <x:c r="M7" s="13" t="n">
        <x:v>1107.7632856238633</x:v>
      </x:c>
      <x:c r="N7" s="13" t="n">
        <x:v>1107.740237267688</x:v>
      </x:c>
      <x:c r="O7" s="10" t="str">
        <x:v>completed</x:v>
      </x:c>
      <x:c r="P7" s="11" t="n">
        <x:v>5000</x:v>
      </x:c>
      <x:c r="Q7" s="11" t="n">
        <x:v>10000</x:v>
      </x:c>
      <x:c r="R7" s="11" t="n">
        <x:v>1</x:v>
      </x:c>
      <x:c r="S7" s="10" t="str">
        <x:v>r1</x:v>
      </x:c>
      <x:c r="T7" s="13" t="n">
        <x:v>1.31</x:v>
      </x:c>
      <x:c r="U7" s="13" t="n">
        <x:v>1.2950583696365356</x:v>
      </x:c>
      <x:c r="V7" s="13" t="n">
        <x:v>0.014941630363464409</x:v>
      </x:c>
      <x:c r="W7" s="13" t="str">
        <x:v>r2</x:v>
      </x:c>
      <x:c r="X7" s="13" t="n">
        <x:v>0.8300000000000001</x:v>
      </x:c>
      <x:c r="Y7" s="13" t="n">
        <x:v>0.8321357369422913</x:v>
      </x:c>
      <x:c r="Z7" s="13" t="n">
        <x:v>0.0021357369422911887</x:v>
      </x:c>
      <x:c r="AA7" s="10" t="str">
        <x:v>competition_three_method_inverse_20260822_063907_seed_20261001</x:v>
      </x:c>
    </x:row>
    <x:row r="8">
      <x:c r="A8" s="10" t="str">
        <x:v>Competition</x:v>
      </x:c>
      <x:c r="B8" s="11" t="n">
        <x:v>20261001</x:v>
      </x:c>
      <x:c r="C8" s="11" t="n">
        <x:v>6</x:v>
      </x:c>
      <x:c r="D8" s="12" t="n">
        <x:v>0.005</x:v>
      </x:c>
      <x:c r="E8" s="11" t="n">
        <x:v>1</x:v>
      </x:c>
      <x:c r="F8" s="11" t="n">
        <x:v>20</x:v>
      </x:c>
      <x:c r="G8" s="11" t="n">
        <x:v>2</x:v>
      </x:c>
      <x:c r="H8" s="11" t="n">
        <x:v>40</x:v>
      </x:c>
      <x:c r="I8" s="13" t="n">
        <x:v>0.015214849189220963</x:v>
      </x:c>
      <x:c r="J8" s="13" t="n">
        <x:v>0.009128909513532577</x:v>
      </x:c>
      <x:c r="K8" s="13" t="n">
        <x:v>0.002159422695433576</x:v>
      </x:c>
      <x:c r="L8" s="13" t="n">
        <x:v>0.00253293732072776</x:v>
      </x:c>
      <x:c r="M8" s="13" t="n">
        <x:v>2372.699722911697</x:v>
      </x:c>
      <x:c r="N8" s="13" t="n">
        <x:v>2372.489117389079</x:v>
      </x:c>
      <x:c r="O8" s="10" t="str">
        <x:v>completed</x:v>
      </x:c>
      <x:c r="P8" s="11" t="n">
        <x:v>5000</x:v>
      </x:c>
      <x:c r="Q8" s="11" t="n">
        <x:v>10000</x:v>
      </x:c>
      <x:c r="R8" s="11" t="n">
        <x:v>2</x:v>
      </x:c>
      <x:c r="S8" s="10" t="str">
        <x:v>r1</x:v>
      </x:c>
      <x:c r="T8" s="13" t="n">
        <x:v>0.95</x:v>
      </x:c>
      <x:c r="U8" s="13" t="n">
        <x:v>0.9429953694343567</x:v>
      </x:c>
      <x:c r="V8" s="13" t="n">
        <x:v>0.007004630565643266</x:v>
      </x:c>
      <x:c r="W8" s="13" t="str">
        <x:v>r2</x:v>
      </x:c>
      <x:c r="X8" s="13" t="n">
        <x:v>1.07</x:v>
      </x:c>
      <x:c r="Y8" s="13" t="n">
        <x:v>1.0591552257537842</x:v>
      </x:c>
      <x:c r="Z8" s="13" t="n">
        <x:v>0.010844774246215882</x:v>
      </x:c>
      <x:c r="AA8" s="10" t="str">
        <x:v>competition_three_method_inverse_20260822_063907_seed_20261001</x:v>
      </x:c>
    </x:row>
    <x:row r="9">
      <x:c r="A9" s="10" t="str">
        <x:v>Competition</x:v>
      </x:c>
      <x:c r="B9" s="11" t="n">
        <x:v>20261001</x:v>
      </x:c>
      <x:c r="C9" s="11" t="n">
        <x:v>7</x:v>
      </x:c>
      <x:c r="D9" s="12" t="n">
        <x:v>0.005</x:v>
      </x:c>
      <x:c r="E9" s="11" t="n">
        <x:v>1</x:v>
      </x:c>
      <x:c r="F9" s="11" t="n">
        <x:v>20</x:v>
      </x:c>
      <x:c r="G9" s="11" t="n">
        <x:v>2</x:v>
      </x:c>
      <x:c r="H9" s="11" t="n">
        <x:v>40</x:v>
      </x:c>
      <x:c r="I9" s="13" t="n">
        <x:v>0.00536334492710011</x:v>
      </x:c>
      <x:c r="J9" s="13" t="n">
        <x:v>0.0032180069562600653</x:v>
      </x:c>
      <x:c r="K9" s="13" t="n">
        <x:v>0.0008471131885819662</x:v>
      </x:c>
      <x:c r="L9" s="13" t="n">
        <x:v>0.003159985658854804</x:v>
      </x:c>
      <x:c r="M9" s="13" t="n">
        <x:v>2285.6025994480588</x:v>
      </x:c>
      <x:c r="N9" s="13" t="n">
        <x:v>2285.5785700078122</x:v>
      </x:c>
      <x:c r="O9" s="10" t="str">
        <x:v>completed</x:v>
      </x:c>
      <x:c r="P9" s="11" t="n">
        <x:v>5000</x:v>
      </x:c>
      <x:c r="Q9" s="11" t="n">
        <x:v>10000</x:v>
      </x:c>
      <x:c r="R9" s="11" t="n">
        <x:v>0</x:v>
      </x:c>
      <x:c r="S9" s="10" t="str">
        <x:v>r1</x:v>
      </x:c>
      <x:c r="T9" s="13" t="n">
        <x:v>1.01</x:v>
      </x:c>
      <x:c r="U9" s="13" t="n">
        <x:v>1.0134941339492798</x:v>
      </x:c>
      <x:c r="V9" s="13" t="n">
        <x:v>0.0034941339492797763</x:v>
      </x:c>
      <x:c r="W9" s="13" t="str">
        <x:v>r2</x:v>
      </x:c>
      <x:c r="X9" s="13" t="n">
        <x:v>0.95</x:v>
      </x:c>
      <x:c r="Y9" s="13" t="n">
        <x:v>0.9529158473014832</x:v>
      </x:c>
      <x:c r="Z9" s="13" t="n">
        <x:v>0.0029158473014831987</x:v>
      </x:c>
      <x:c r="AA9" s="10" t="str">
        <x:v>competition_three_method_inverse_20260822_063907_seed_20261001</x:v>
      </x:c>
    </x:row>
    <x:row r="10">
      <x:c r="A10" s="10" t="str">
        <x:v>Competition</x:v>
      </x:c>
      <x:c r="B10" s="11" t="n">
        <x:v>20261001</x:v>
      </x:c>
      <x:c r="C10" s="11" t="n">
        <x:v>8</x:v>
      </x:c>
      <x:c r="D10" s="12" t="n">
        <x:v>0.005</x:v>
      </x:c>
      <x:c r="E10" s="11" t="n">
        <x:v>1</x:v>
      </x:c>
      <x:c r="F10" s="11" t="n">
        <x:v>20</x:v>
      </x:c>
      <x:c r="G10" s="11" t="n">
        <x:v>2</x:v>
      </x:c>
      <x:c r="H10" s="11" t="n">
        <x:v>40</x:v>
      </x:c>
      <x:c r="I10" s="13" t="n">
        <x:v>0.006427458728549704</x:v>
      </x:c>
      <x:c r="J10" s="13" t="n">
        <x:v>0.0038564752371298217</x:v>
      </x:c>
      <x:c r="K10" s="13" t="n">
        <x:v>0.0010316111266131258</x:v>
      </x:c>
      <x:c r="L10" s="13" t="n">
        <x:v>0.0018537546330615478</x:v>
      </x:c>
      <x:c r="M10" s="13" t="n">
        <x:v>2113.639091871213</x:v>
      </x:c>
      <x:c r="N10" s="13" t="n">
        <x:v>2113.4579806611873</x:v>
      </x:c>
      <x:c r="O10" s="10" t="str">
        <x:v>completed</x:v>
      </x:c>
      <x:c r="P10" s="11" t="n">
        <x:v>5000</x:v>
      </x:c>
      <x:c r="Q10" s="11" t="n">
        <x:v>10000</x:v>
      </x:c>
      <x:c r="R10" s="11" t="n">
        <x:v>3</x:v>
      </x:c>
      <x:c r="S10" s="10" t="str">
        <x:v>r1</x:v>
      </x:c>
      <x:c r="T10" s="13" t="n">
        <x:v>1.25</x:v>
      </x:c>
      <x:c r="U10" s="13" t="n">
        <x:v>1.2553882598876953</x:v>
      </x:c>
      <x:c r="V10" s="13" t="n">
        <x:v>0.0053882598876953125</x:v>
      </x:c>
      <x:c r="W10" s="13" t="str">
        <x:v>r2</x:v>
      </x:c>
      <x:c r="X10" s="13" t="n">
        <x:v>0.89</x:v>
      </x:c>
      <x:c r="Y10" s="13" t="n">
        <x:v>0.8891565203666687</x:v>
      </x:c>
      <x:c r="Z10" s="13" t="n">
        <x:v>0.0008434796333313122</x:v>
      </x:c>
      <x:c r="AA10" s="10" t="str">
        <x:v>competition_three_method_inverse_20260822_063907_seed_20261001</x:v>
      </x:c>
    </x:row>
    <x:row r="11">
      <x:c r="A11" s="10" t="str">
        <x:v>Competition</x:v>
      </x:c>
      <x:c r="B11" s="11" t="n">
        <x:v>20261001</x:v>
      </x:c>
      <x:c r="C11" s="11" t="n">
        <x:v>9</x:v>
      </x:c>
      <x:c r="D11" s="12" t="n">
        <x:v>0.005</x:v>
      </x:c>
      <x:c r="E11" s="11" t="n">
        <x:v>1</x:v>
      </x:c>
      <x:c r="F11" s="11" t="n">
        <x:v>20</x:v>
      </x:c>
      <x:c r="G11" s="11" t="n">
        <x:v>2</x:v>
      </x:c>
      <x:c r="H11" s="11" t="n">
        <x:v>40</x:v>
      </x:c>
      <x:c r="I11" s="13" t="n">
        <x:v>0.010012760006421859</x:v>
      </x:c>
      <x:c r="J11" s="13" t="n">
        <x:v>0.006007656003853113</x:v>
      </x:c>
      <x:c r="K11" s="13" t="n">
        <x:v>0.001476313772449272</x:v>
      </x:c>
      <x:c r="L11" s="13" t="n">
        <x:v>0.002334335809502417</x:v>
      </x:c>
      <x:c r="M11" s="13" t="n">
        <x:v>2211.9540277710184</x:v>
      </x:c>
      <x:c r="N11" s="13" t="n">
        <x:v>2211.8955974979326</x:v>
      </x:c>
      <x:c r="O11" s="10" t="str">
        <x:v>completed</x:v>
      </x:c>
      <x:c r="P11" s="11" t="n">
        <x:v>5000</x:v>
      </x:c>
      <x:c r="Q11" s="11" t="n">
        <x:v>10000</x:v>
      </x:c>
      <x:c r="R11" s="11" t="n">
        <x:v>4</x:v>
      </x:c>
      <x:c r="S11" s="10" t="str">
        <x:v>r1</x:v>
      </x:c>
      <x:c r="T11" s="13" t="n">
        <x:v>1.3699999999999999</x:v>
      </x:c>
      <x:c r="U11" s="13" t="n">
        <x:v>1.3692917823791504</x:v>
      </x:c>
      <x:c r="V11" s="13" t="n">
        <x:v>0.0007082176208494939</x:v>
      </x:c>
      <x:c r="W11" s="13" t="str">
        <x:v>r2</x:v>
      </x:c>
      <x:c r="X11" s="13" t="n">
        <x:v>1.19</x:v>
      </x:c>
      <x:c r="Y11" s="13" t="n">
        <x:v>1.1984665393829346</x:v>
      </x:c>
      <x:c r="Z11" s="13" t="n">
        <x:v>0.008466539382934624</x:v>
      </x:c>
      <x:c r="AA11" s="10" t="str">
        <x:v>competition_three_method_inverse_20260822_063907_seed_20261001</x:v>
      </x:c>
    </x:row>
    <x:row r="12">
      <x:c r="A12" s="10" t="str">
        <x:v>Competition</x:v>
      </x:c>
      <x:c r="B12" s="11" t="n">
        <x:v>20261001</x:v>
      </x:c>
      <x:c r="C12" s="11" t="n">
        <x:v>0</x:v>
      </x:c>
      <x:c r="D12" s="12" t="n">
        <x:v>0.01</x:v>
      </x:c>
      <x:c r="E12" s="11" t="n">
        <x:v>1</x:v>
      </x:c>
      <x:c r="F12" s="11" t="n">
        <x:v>20</x:v>
      </x:c>
      <x:c r="G12" s="11" t="n">
        <x:v>2</x:v>
      </x:c>
      <x:c r="H12" s="11" t="n">
        <x:v>40</x:v>
      </x:c>
      <x:c r="I12" s="13" t="n">
        <x:v>0.006985461448882027</x:v>
      </x:c>
      <x:c r="J12" s="13" t="n">
        <x:v>0.004191276869329215</x:v>
      </x:c>
      <x:c r="K12" s="13" t="n">
        <x:v>0.0016937834740700871</x:v>
      </x:c>
      <x:c r="L12" s="13" t="n">
        <x:v>0.0064191163958939364</x:v>
      </x:c>
      <x:c r="M12" s="13" t="n">
        <x:v>1264.7666058433242</x:v>
      </x:c>
      <x:c r="N12" s="13" t="n">
        <x:v>1264.7227810039185</x:v>
      </x:c>
      <x:c r="O12" s="10" t="str">
        <x:v>completed</x:v>
      </x:c>
      <x:c r="P12" s="11" t="n">
        <x:v>5000</x:v>
      </x:c>
      <x:c r="Q12" s="11" t="n">
        <x:v>10000</x:v>
      </x:c>
      <x:c r="R12" s="11" t="n">
        <x:v>4</x:v>
      </x:c>
      <x:c r="S12" s="10" t="str">
        <x:v>r1</x:v>
      </x:c>
      <x:c r="T12" s="13" t="n">
        <x:v>1.19</x:v>
      </x:c>
      <x:c r="U12" s="13" t="n">
        <x:v>1.1915035247802734</x:v>
      </x:c>
      <x:c r="V12" s="13" t="n">
        <x:v>0.0015035247802734908</x:v>
      </x:c>
      <x:c r="W12" s="13" t="str">
        <x:v>r2</x:v>
      </x:c>
      <x:c r="X12" s="13" t="n">
        <x:v>1.01</x:v>
      </x:c>
      <x:c r="Y12" s="13" t="n">
        <x:v>1.0042665004730225</x:v>
      </x:c>
      <x:c r="Z12" s="13" t="n">
        <x:v>0.005733499526977548</x:v>
      </x:c>
      <x:c r="AA12" s="10" t="str">
        <x:v>competition_three_method_inverse_20260822_063907_seed_20261001</x:v>
      </x:c>
    </x:row>
    <x:row r="13">
      <x:c r="A13" s="10" t="str">
        <x:v>Competition</x:v>
      </x:c>
      <x:c r="B13" s="11" t="n">
        <x:v>20261001</x:v>
      </x:c>
      <x:c r="C13" s="11" t="n">
        <x:v>1</x:v>
      </x:c>
      <x:c r="D13" s="12" t="n">
        <x:v>0.01</x:v>
      </x:c>
      <x:c r="E13" s="11" t="n">
        <x:v>1</x:v>
      </x:c>
      <x:c r="F13" s="11" t="n">
        <x:v>20</x:v>
      </x:c>
      <x:c r="G13" s="11" t="n">
        <x:v>2</x:v>
      </x:c>
      <x:c r="H13" s="11" t="n">
        <x:v>40</x:v>
      </x:c>
      <x:c r="I13" s="13" t="n">
        <x:v>0.05088547722868327</x:v>
      </x:c>
      <x:c r="J13" s="13" t="n">
        <x:v>0.03053128633720996</x:v>
      </x:c>
      <x:c r="K13" s="13" t="n">
        <x:v>0.00478838242983793</x:v>
      </x:c>
      <x:c r="L13" s="13" t="n">
        <x:v>0.005122678348772101</x:v>
      </x:c>
      <x:c r="M13" s="13" t="n">
        <x:v>1107.7858309089206</x:v>
      </x:c>
      <x:c r="N13" s="13" t="n">
        <x:v>1107.761780982837</x:v>
      </x:c>
      <x:c r="O13" s="10" t="str">
        <x:v>completed</x:v>
      </x:c>
      <x:c r="P13" s="11" t="n">
        <x:v>5000</x:v>
      </x:c>
      <x:c r="Q13" s="11" t="n">
        <x:v>10000</x:v>
      </x:c>
      <x:c r="R13" s="11" t="n">
        <x:v>4</x:v>
      </x:c>
      <x:c r="S13" s="10" t="str">
        <x:v>r1</x:v>
      </x:c>
      <x:c r="T13" s="13" t="n">
        <x:v>1.07</x:v>
      </x:c>
      <x:c r="U13" s="13" t="n">
        <x:v>1.0861561298370361</x:v>
      </x:c>
      <x:c r="V13" s="13" t="n">
        <x:v>0.01615612983703607</x:v>
      </x:c>
      <x:c r="W13" s="13" t="str">
        <x:v>r2</x:v>
      </x:c>
      <x:c r="X13" s="13" t="n">
        <x:v>1.25</x:v>
      </x:c>
      <x:c r="Y13" s="13" t="n">
        <x:v>1.290041208267212</x:v>
      </x:c>
      <x:c r="Z13" s="13" t="n">
        <x:v>0.040041208267211914</x:v>
      </x:c>
      <x:c r="AA13" s="10" t="str">
        <x:v>competition_three_method_inverse_20260822_063907_seed_20261001</x:v>
      </x:c>
    </x:row>
    <x:row r="14">
      <x:c r="A14" s="10" t="str">
        <x:v>Competition</x:v>
      </x:c>
      <x:c r="B14" s="11" t="n">
        <x:v>20261001</x:v>
      </x:c>
      <x:c r="C14" s="11" t="n">
        <x:v>2</x:v>
      </x:c>
      <x:c r="D14" s="12" t="n">
        <x:v>0.01</x:v>
      </x:c>
      <x:c r="E14" s="11" t="n">
        <x:v>1</x:v>
      </x:c>
      <x:c r="F14" s="11" t="n">
        <x:v>20</x:v>
      </x:c>
      <x:c r="G14" s="11" t="n">
        <x:v>2</x:v>
      </x:c>
      <x:c r="H14" s="11" t="n">
        <x:v>40</x:v>
      </x:c>
      <x:c r="I14" s="13" t="n">
        <x:v>0.02303864817738518</x:v>
      </x:c>
      <x:c r="J14" s="13" t="n">
        <x:v>0.013823188906431104</x:v>
      </x:c>
      <x:c r="K14" s="13" t="n">
        <x:v>0.005131554700414192</x:v>
      </x:c>
      <x:c r="L14" s="13" t="n">
        <x:v>0.005699556969370382</x:v>
      </x:c>
      <x:c r="M14" s="13" t="n">
        <x:v>4062.6686721988954</x:v>
      </x:c>
      <x:c r="N14" s="13" t="n">
        <x:v>4062.643977514934</x:v>
      </x:c>
      <x:c r="O14" s="10" t="str">
        <x:v>completed</x:v>
      </x:c>
      <x:c r="P14" s="11" t="n">
        <x:v>5000</x:v>
      </x:c>
      <x:c r="Q14" s="11" t="n">
        <x:v>10000</x:v>
      </x:c>
      <x:c r="R14" s="11" t="n">
        <x:v>2</x:v>
      </x:c>
      <x:c r="S14" s="10" t="str">
        <x:v>r1</x:v>
      </x:c>
      <x:c r="T14" s="13" t="n">
        <x:v>0.89</x:v>
      </x:c>
      <x:c r="U14" s="13" t="n">
        <x:v>0.9011554718017578</x:v>
      </x:c>
      <x:c r="V14" s="13" t="n">
        <x:v>0.0111554718017578</x:v>
      </x:c>
      <x:c r="W14" s="13" t="str">
        <x:v>r2</x:v>
      </x:c>
      <x:c r="X14" s="13" t="n">
        <x:v>1.3699999999999999</x:v>
      </x:c>
      <x:c r="Y14" s="13" t="n">
        <x:v>1.3539464473724365</x:v>
      </x:c>
      <x:c r="Z14" s="13" t="n">
        <x:v>0.01605355262756336</x:v>
      </x:c>
      <x:c r="AA14" s="10" t="str">
        <x:v>competition_three_method_inverse_20260822_063907_seed_20261001</x:v>
      </x:c>
    </x:row>
    <x:row r="15">
      <x:c r="A15" s="10" t="str">
        <x:v>Competition</x:v>
      </x:c>
      <x:c r="B15" s="11" t="n">
        <x:v>20261001</x:v>
      </x:c>
      <x:c r="C15" s="11" t="n">
        <x:v>3</x:v>
      </x:c>
      <x:c r="D15" s="12" t="n">
        <x:v>0.01</x:v>
      </x:c>
      <x:c r="E15" s="11" t="n">
        <x:v>1</x:v>
      </x:c>
      <x:c r="F15" s="11" t="n">
        <x:v>20</x:v>
      </x:c>
      <x:c r="G15" s="11" t="n">
        <x:v>2</x:v>
      </x:c>
      <x:c r="H15" s="11" t="n">
        <x:v>40</x:v>
      </x:c>
      <x:c r="I15" s="13" t="n">
        <x:v>0.024469503798807718</x:v>
      </x:c>
      <x:c r="J15" s="13" t="n">
        <x:v>0.014681702279284626</x:v>
      </x:c>
      <x:c r="K15" s="13" t="n">
        <x:v>0.007617396189729808</x:v>
      </x:c>
      <x:c r="L15" s="13" t="n">
        <x:v>0.006227144881516901</x:v>
      </x:c>
      <x:c r="M15" s="13" t="n">
        <x:v>1110.6862905672751</x:v>
      </x:c>
      <x:c r="N15" s="13" t="n">
        <x:v>1110.6611939491704</x:v>
      </x:c>
      <x:c r="O15" s="10" t="str">
        <x:v>completed</x:v>
      </x:c>
      <x:c r="P15" s="11" t="n">
        <x:v>5000</x:v>
      </x:c>
      <x:c r="Q15" s="11" t="n">
        <x:v>10000</x:v>
      </x:c>
      <x:c r="R15" s="11" t="n">
        <x:v>1</x:v>
      </x:c>
      <x:c r="S15" s="10" t="str">
        <x:v>r1</x:v>
      </x:c>
      <x:c r="T15" s="13" t="n">
        <x:v>0.8300000000000001</x:v>
      </x:c>
      <x:c r="U15" s="13" t="n">
        <x:v>0.847569465637207</x:v>
      </x:c>
      <x:c r="V15" s="13" t="n">
        <x:v>0.01756946563720696</x:v>
      </x:c>
      <x:c r="W15" s="13" t="str">
        <x:v>r2</x:v>
      </x:c>
      <x:c r="X15" s="13" t="n">
        <x:v>1.13</x:v>
      </x:c>
      <x:c r="Y15" s="13" t="n">
        <x:v>1.1189357042312622</x:v>
      </x:c>
      <x:c r="Z15" s="13" t="n">
        <x:v>0.011064295768737686</x:v>
      </x:c>
      <x:c r="AA15" s="10" t="str">
        <x:v>competition_three_method_inverse_20260822_063907_seed_20261001</x:v>
      </x:c>
    </x:row>
    <x:row r="16">
      <x:c r="A16" s="10" t="str">
        <x:v>Competition</x:v>
      </x:c>
      <x:c r="B16" s="11" t="n">
        <x:v>20261001</x:v>
      </x:c>
      <x:c r="C16" s="11" t="n">
        <x:v>4</x:v>
      </x:c>
      <x:c r="D16" s="12" t="n">
        <x:v>0.01</x:v>
      </x:c>
      <x:c r="E16" s="11" t="n">
        <x:v>1</x:v>
      </x:c>
      <x:c r="F16" s="11" t="n">
        <x:v>20</x:v>
      </x:c>
      <x:c r="G16" s="11" t="n">
        <x:v>2</x:v>
      </x:c>
      <x:c r="H16" s="11" t="n">
        <x:v>40</x:v>
      </x:c>
      <x:c r="I16" s="13" t="n">
        <x:v>0.03856036053283771</x:v>
      </x:c>
      <x:c r="J16" s="13" t="n">
        <x:v>0.023136216319702627</x:v>
      </x:c>
      <x:c r="K16" s="13" t="n">
        <x:v>0.0037467110141861464</x:v>
      </x:c>
      <x:c r="L16" s="13" t="n">
        <x:v>0.005571062248114746</x:v>
      </x:c>
      <x:c r="M16" s="13" t="n">
        <x:v>5414.708921489306</x:v>
      </x:c>
      <x:c r="N16" s="13" t="n">
        <x:v>5414.464328047354</x:v>
      </x:c>
      <x:c r="O16" s="10" t="str">
        <x:v>completed</x:v>
      </x:c>
      <x:c r="P16" s="11" t="n">
        <x:v>5000</x:v>
      </x:c>
      <x:c r="Q16" s="11" t="n">
        <x:v>10000</x:v>
      </x:c>
      <x:c r="R16" s="11" t="n">
        <x:v>2</x:v>
      </x:c>
      <x:c r="S16" s="10" t="str">
        <x:v>r1</x:v>
      </x:c>
      <x:c r="T16" s="13" t="n">
        <x:v>1.13</x:v>
      </x:c>
      <x:c r="U16" s="13" t="n">
        <x:v>1.1463745832443237</x:v>
      </x:c>
      <x:c r="V16" s="13" t="n">
        <x:v>0.016374583244323837</x:v>
      </x:c>
      <x:c r="W16" s="13" t="str">
        <x:v>r2</x:v>
      </x:c>
      <x:c r="X16" s="13" t="n">
        <x:v>1.31</x:v>
      </x:c>
      <x:c r="Y16" s="13" t="n">
        <x:v>1.338327407836914</x:v>
      </x:c>
      <x:c r="Z16" s="13" t="n">
        <x:v>0.02832740783691401</x:v>
      </x:c>
      <x:c r="AA16" s="10" t="str">
        <x:v>competition_three_method_inverse_20260822_063907_seed_20261001</x:v>
      </x:c>
    </x:row>
    <x:row r="17">
      <x:c r="A17" s="10" t="str">
        <x:v>Competition</x:v>
      </x:c>
      <x:c r="B17" s="11" t="n">
        <x:v>20261001</x:v>
      </x:c>
      <x:c r="C17" s="11" t="n">
        <x:v>5</x:v>
      </x:c>
      <x:c r="D17" s="12" t="n">
        <x:v>0.01</x:v>
      </x:c>
      <x:c r="E17" s="11" t="n">
        <x:v>1</x:v>
      </x:c>
      <x:c r="F17" s="11" t="n">
        <x:v>20</x:v>
      </x:c>
      <x:c r="G17" s="11" t="n">
        <x:v>2</x:v>
      </x:c>
      <x:c r="H17" s="11" t="n">
        <x:v>40</x:v>
      </x:c>
      <x:c r="I17" s="13" t="n">
        <x:v>0.03536163471464771</x:v>
      </x:c>
      <x:c r="J17" s="13" t="n">
        <x:v>0.02121698082878862</x:v>
      </x:c>
      <x:c r="K17" s="13" t="n">
        <x:v>0.004119855410995539</x:v>
      </x:c>
      <x:c r="L17" s="13" t="n">
        <x:v>0.006313483721590476</x:v>
      </x:c>
      <x:c r="M17" s="13" t="n">
        <x:v>4540.844239005819</x:v>
      </x:c>
      <x:c r="N17" s="13" t="n">
        <x:v>4540.822751235217</x:v>
      </x:c>
      <x:c r="O17" s="10" t="str">
        <x:v>completed</x:v>
      </x:c>
      <x:c r="P17" s="11" t="n">
        <x:v>5000</x:v>
      </x:c>
      <x:c r="Q17" s="11" t="n">
        <x:v>10000</x:v>
      </x:c>
      <x:c r="R17" s="11" t="n">
        <x:v>4</x:v>
      </x:c>
      <x:c r="S17" s="10" t="str">
        <x:v>r1</x:v>
      </x:c>
      <x:c r="T17" s="13" t="n">
        <x:v>1.31</x:v>
      </x:c>
      <x:c r="U17" s="13" t="n">
        <x:v>1.2803089618682861</x:v>
      </x:c>
      <x:c r="V17" s="13" t="n">
        <x:v>0.02969103813171392</x:v>
      </x:c>
      <x:c r="W17" s="13" t="str">
        <x:v>r2</x:v>
      </x:c>
      <x:c r="X17" s="13" t="n">
        <x:v>0.8300000000000001</x:v>
      </x:c>
      <x:c r="Y17" s="13" t="n">
        <x:v>0.8256683945655823</x:v>
      </x:c>
      <x:c r="Z17" s="13" t="n">
        <x:v>0.004331605434417796</x:v>
      </x:c>
      <x:c r="AA17" s="10" t="str">
        <x:v>competition_three_method_inverse_20260822_063907_seed_20261001</x:v>
      </x:c>
    </x:row>
    <x:row r="18">
      <x:c r="A18" s="10" t="str">
        <x:v>Competition</x:v>
      </x:c>
      <x:c r="B18" s="11" t="n">
        <x:v>20261001</x:v>
      </x:c>
      <x:c r="C18" s="11" t="n">
        <x:v>6</x:v>
      </x:c>
      <x:c r="D18" s="12" t="n">
        <x:v>0.01</x:v>
      </x:c>
      <x:c r="E18" s="11" t="n">
        <x:v>1</x:v>
      </x:c>
      <x:c r="F18" s="11" t="n">
        <x:v>20</x:v>
      </x:c>
      <x:c r="G18" s="11" t="n">
        <x:v>2</x:v>
      </x:c>
      <x:c r="H18" s="11" t="n">
        <x:v>40</x:v>
      </x:c>
      <x:c r="I18" s="13" t="n">
        <x:v>0.007161046722612925</x:v>
      </x:c>
      <x:c r="J18" s="13" t="n">
        <x:v>0.004296628033567754</x:v>
      </x:c>
      <x:c r="K18" s="13" t="n">
        <x:v>0.001203051272731644</x:v>
      </x:c>
      <x:c r="L18" s="13" t="n">
        <x:v>0.0046321831141581836</x:v>
      </x:c>
      <x:c r="M18" s="13" t="n">
        <x:v>7130.181579225231</x:v>
      </x:c>
      <x:c r="N18" s="13" t="n">
        <x:v>7129.963315641042</x:v>
      </x:c>
      <x:c r="O18" s="10" t="str">
        <x:v>completed</x:v>
      </x:c>
      <x:c r="P18" s="11" t="n">
        <x:v>5000</x:v>
      </x:c>
      <x:c r="Q18" s="11" t="n">
        <x:v>10000</x:v>
      </x:c>
      <x:c r="R18" s="11" t="n">
        <x:v>1</x:v>
      </x:c>
      <x:c r="S18" s="10" t="str">
        <x:v>r1</x:v>
      </x:c>
      <x:c r="T18" s="13" t="n">
        <x:v>0.95</x:v>
      </x:c>
      <x:c r="U18" s="13" t="n">
        <x:v>0.9452004432678223</x:v>
      </x:c>
      <x:c r="V18" s="13" t="n">
        <x:v>0.00479955673217769</x:v>
      </x:c>
      <x:c r="W18" s="13" t="str">
        <x:v>r2</x:v>
      </x:c>
      <x:c r="X18" s="13" t="n">
        <x:v>1.07</x:v>
      </x:c>
      <x:c r="Y18" s="13" t="n">
        <x:v>1.06627357006073</x:v>
      </x:c>
      <x:c r="Z18" s="13" t="n">
        <x:v>0.0037264299392700817</x:v>
      </x:c>
      <x:c r="AA18" s="10" t="str">
        <x:v>competition_three_method_inverse_20260822_063907_seed_20261001</x:v>
      </x:c>
    </x:row>
    <x:row r="19">
      <x:c r="A19" s="10" t="str">
        <x:v>Competition</x:v>
      </x:c>
      <x:c r="B19" s="11" t="n">
        <x:v>20261001</x:v>
      </x:c>
      <x:c r="C19" s="11" t="n">
        <x:v>7</x:v>
      </x:c>
      <x:c r="D19" s="12" t="n">
        <x:v>0.01</x:v>
      </x:c>
      <x:c r="E19" s="11" t="n">
        <x:v>1</x:v>
      </x:c>
      <x:c r="F19" s="11" t="n">
        <x:v>20</x:v>
      </x:c>
      <x:c r="G19" s="11" t="n">
        <x:v>2</x:v>
      </x:c>
      <x:c r="H19" s="11" t="n">
        <x:v>40</x:v>
      </x:c>
      <x:c r="I19" s="13" t="n">
        <x:v>0.019295874762237455</x:v>
      </x:c>
      <x:c r="J19" s="13" t="n">
        <x:v>0.011577524857342472</x:v>
      </x:c>
      <x:c r="K19" s="13" t="n">
        <x:v>0.0030190411288065415</x:v>
      </x:c>
      <x:c r="L19" s="13" t="n">
        <x:v>0.005971337642305052</x:v>
      </x:c>
      <x:c r="M19" s="13" t="n">
        <x:v>15975.76512374077</x:v>
      </x:c>
      <x:c r="N19" s="13" t="n">
        <x:v>15975.665203968994</x:v>
      </x:c>
      <x:c r="O19" s="10" t="str">
        <x:v>completed</x:v>
      </x:c>
      <x:c r="P19" s="11" t="n">
        <x:v>5000</x:v>
      </x:c>
      <x:c r="Q19" s="11" t="n">
        <x:v>10000</x:v>
      </x:c>
      <x:c r="R19" s="11" t="n">
        <x:v>0</x:v>
      </x:c>
      <x:c r="S19" s="10" t="str">
        <x:v>r1</x:v>
      </x:c>
      <x:c r="T19" s="13" t="n">
        <x:v>1.01</x:v>
      </x:c>
      <x:c r="U19" s="13" t="n">
        <x:v>1.0216667652130127</x:v>
      </x:c>
      <x:c r="V19" s="13" t="n">
        <x:v>0.011666765213012686</x:v>
      </x:c>
      <x:c r="W19" s="13" t="str">
        <x:v>r2</x:v>
      </x:c>
      <x:c r="X19" s="13" t="n">
        <x:v>0.95</x:v>
      </x:c>
      <x:c r="Y19" s="13" t="n">
        <x:v>0.9614875912666321</x:v>
      </x:c>
      <x:c r="Z19" s="13" t="n">
        <x:v>0.011487591266632124</x:v>
      </x:c>
      <x:c r="AA19" s="10" t="str">
        <x:v>competition_three_method_inverse_20260822_063907_seed_20261001</x:v>
      </x:c>
    </x:row>
    <x:row r="20">
      <x:c r="A20" s="10" t="str">
        <x:v>Competition</x:v>
      </x:c>
      <x:c r="B20" s="11" t="n">
        <x:v>20261001</x:v>
      </x:c>
      <x:c r="C20" s="11" t="n">
        <x:v>8</x:v>
      </x:c>
      <x:c r="D20" s="12" t="n">
        <x:v>0.01</x:v>
      </x:c>
      <x:c r="E20" s="11" t="n">
        <x:v>1</x:v>
      </x:c>
      <x:c r="F20" s="11" t="n">
        <x:v>20</x:v>
      </x:c>
      <x:c r="G20" s="11" t="n">
        <x:v>2</x:v>
      </x:c>
      <x:c r="H20" s="11" t="n">
        <x:v>40</x:v>
      </x:c>
      <x:c r="I20" s="13" t="n">
        <x:v>0.016038897998569963</x:v>
      </x:c>
      <x:c r="J20" s="13" t="n">
        <x:v>0.009623338799141977</x:v>
      </x:c>
      <x:c r="K20" s="13" t="n">
        <x:v>0.0025590303747147145</x:v>
      </x:c>
      <x:c r="L20" s="13" t="n">
        <x:v>0.003912343422818484</x:v>
      </x:c>
      <x:c r="M20" s="13" t="n">
        <x:v>3650.945817596279</x:v>
      </x:c>
      <x:c r="N20" s="13" t="n">
        <x:v>3650.6068008150905</x:v>
      </x:c>
      <x:c r="O20" s="10" t="str">
        <x:v>completed</x:v>
      </x:c>
      <x:c r="P20" s="11" t="n">
        <x:v>5000</x:v>
      </x:c>
      <x:c r="Q20" s="11" t="n">
        <x:v>10000</x:v>
      </x:c>
      <x:c r="R20" s="11" t="n">
        <x:v>3</x:v>
      </x:c>
      <x:c r="S20" s="10" t="str">
        <x:v>r1</x:v>
      </x:c>
      <x:c r="T20" s="13" t="n">
        <x:v>1.25</x:v>
      </x:c>
      <x:c r="U20" s="13" t="n">
        <x:v>1.263447880744934</x:v>
      </x:c>
      <x:c r="V20" s="13" t="n">
        <x:v>0.013447880744934082</x:v>
      </x:c>
      <x:c r="W20" s="13" t="str">
        <x:v>r2</x:v>
      </x:c>
      <x:c r="X20" s="13" t="n">
        <x:v>0.89</x:v>
      </x:c>
      <x:c r="Y20" s="13" t="n">
        <x:v>0.8879091143608093</x:v>
      </x:c>
      <x:c r="Z20" s="13" t="n">
        <x:v>0.002090885639190687</x:v>
      </x:c>
      <x:c r="AA20" s="10" t="str">
        <x:v>competition_three_method_inverse_20260822_063907_seed_20261001</x:v>
      </x:c>
    </x:row>
    <x:row r="21">
      <x:c r="A21" s="10" t="str">
        <x:v>Competition</x:v>
      </x:c>
      <x:c r="B21" s="11" t="n">
        <x:v>20261001</x:v>
      </x:c>
      <x:c r="C21" s="11" t="n">
        <x:v>9</x:v>
      </x:c>
      <x:c r="D21" s="12" t="n">
        <x:v>0.01</x:v>
      </x:c>
      <x:c r="E21" s="11" t="n">
        <x:v>1</x:v>
      </x:c>
      <x:c r="F21" s="11" t="n">
        <x:v>20</x:v>
      </x:c>
      <x:c r="G21" s="11" t="n">
        <x:v>2</x:v>
      </x:c>
      <x:c r="H21" s="11" t="n">
        <x:v>40</x:v>
      </x:c>
      <x:c r="I21" s="13" t="n">
        <x:v>0.018192236987687908</x:v>
      </x:c>
      <x:c r="J21" s="13" t="n">
        <x:v>0.010915342192612743</x:v>
      </x:c>
      <x:c r="K21" s="13" t="n">
        <x:v>0.0023459441324293496</x:v>
      </x:c>
      <x:c r="L21" s="13" t="n">
        <x:v>0.004800494762559855</x:v>
      </x:c>
      <x:c r="M21" s="13" t="n">
        <x:v>1310.6007531001233</x:v>
      </x:c>
      <x:c r="N21" s="13" t="n">
        <x:v>1310.56836260017</x:v>
      </x:c>
      <x:c r="O21" s="10" t="str">
        <x:v>completed</x:v>
      </x:c>
      <x:c r="P21" s="11" t="n">
        <x:v>5000</x:v>
      </x:c>
      <x:c r="Q21" s="11" t="n">
        <x:v>10000</x:v>
      </x:c>
      <x:c r="R21" s="11" t="n">
        <x:v>2</x:v>
      </x:c>
      <x:c r="S21" s="10" t="str">
        <x:v>r1</x:v>
      </x:c>
      <x:c r="T21" s="13" t="n">
        <x:v>1.3699999999999999</x:v>
      </x:c>
      <x:c r="U21" s="13" t="n">
        <x:v>1.3741414546966553</x:v>
      </x:c>
      <x:c r="V21" s="13" t="n">
        <x:v>0.004141454696655389</x:v>
      </x:c>
      <x:c r="W21" s="13" t="str">
        <x:v>r2</x:v>
      </x:c>
      <x:c r="X21" s="13" t="n">
        <x:v>1.19</x:v>
      </x:c>
      <x:c r="Y21" s="13" t="n">
        <x:v>1.2048707008361816</x:v>
      </x:c>
      <x:c r="Z21" s="13" t="n">
        <x:v>0.014870700836181694</x:v>
      </x:c>
      <x:c r="AA21" s="10" t="str">
        <x:v>competition_three_method_inverse_20260822_063907_seed_20261001</x:v>
      </x:c>
    </x:row>
    <x:row r="22">
      <x:c r="A22" s="10" t="str">
        <x:v>Competition</x:v>
      </x:c>
      <x:c r="B22" s="11" t="n">
        <x:v>20261001</x:v>
      </x:c>
      <x:c r="C22" s="11" t="n">
        <x:v>0</x:v>
      </x:c>
      <x:c r="D22" s="12" t="n">
        <x:v>0.02</x:v>
      </x:c>
      <x:c r="E22" s="11" t="n">
        <x:v>1</x:v>
      </x:c>
      <x:c r="F22" s="11" t="n">
        <x:v>20</x:v>
      </x:c>
      <x:c r="G22" s="11" t="n">
        <x:v>2</x:v>
      </x:c>
      <x:c r="H22" s="11" t="n">
        <x:v>40</x:v>
      </x:c>
      <x:c r="I22" s="13" t="n">
        <x:v>0.0112546620730312</x:v>
      </x:c>
      <x:c r="J22" s="13" t="n">
        <x:v>0.006752797243818718</x:v>
      </x:c>
      <x:c r="K22" s="13" t="n">
        <x:v>0.0023921455774653065</x:v>
      </x:c>
      <x:c r="L22" s="13" t="n">
        <x:v>0.012830758493557833</x:v>
      </x:c>
      <x:c r="M22" s="13" t="n">
        <x:v>4572.124696434941</x:v>
      </x:c>
      <x:c r="N22" s="13" t="n">
        <x:v>4572.089234810788</x:v>
      </x:c>
      <x:c r="O22" s="10" t="str">
        <x:v>completed</x:v>
      </x:c>
      <x:c r="P22" s="11" t="n">
        <x:v>5000</x:v>
      </x:c>
      <x:c r="Q22" s="11" t="n">
        <x:v>10000</x:v>
      </x:c>
      <x:c r="R22" s="11" t="n">
        <x:v>3</x:v>
      </x:c>
      <x:c r="S22" s="10" t="str">
        <x:v>r1</x:v>
      </x:c>
      <x:c r="T22" s="13" t="n">
        <x:v>1.19</x:v>
      </x:c>
      <x:c r="U22" s="13" t="n">
        <x:v>1.1875998973846436</x:v>
      </x:c>
      <x:c r="V22" s="13" t="n">
        <x:v>0.002400102615356392</x:v>
      </x:c>
      <x:c r="W22" s="13" t="str">
        <x:v>r2</x:v>
      </x:c>
      <x:c r="X22" s="13" t="n">
        <x:v>1.01</x:v>
      </x:c>
      <x:c r="Y22" s="13" t="n">
        <x:v>1.0007566213607788</x:v>
      </x:c>
      <x:c r="Z22" s="13" t="n">
        <x:v>0.0092433786392212</x:v>
      </x:c>
      <x:c r="AA22" s="10" t="str">
        <x:v>competition_three_method_inverse_20260822_063907_seed_20261001</x:v>
      </x:c>
    </x:row>
    <x:row r="23">
      <x:c r="A23" s="10" t="str">
        <x:v>Competition</x:v>
      </x:c>
      <x:c r="B23" s="11" t="n">
        <x:v>20261001</x:v>
      </x:c>
      <x:c r="C23" s="11" t="n">
        <x:v>1</x:v>
      </x:c>
      <x:c r="D23" s="12" t="n">
        <x:v>0.02</x:v>
      </x:c>
      <x:c r="E23" s="11" t="n">
        <x:v>1</x:v>
      </x:c>
      <x:c r="F23" s="11" t="n">
        <x:v>20</x:v>
      </x:c>
      <x:c r="G23" s="11" t="n">
        <x:v>2</x:v>
      </x:c>
      <x:c r="H23" s="11" t="n">
        <x:v>40</x:v>
      </x:c>
      <x:c r="I23" s="13" t="n">
        <x:v>0.05680254625408064</x:v>
      </x:c>
      <x:c r="J23" s="13" t="n">
        <x:v>0.034081527752448375</x:v>
      </x:c>
      <x:c r="K23" s="13" t="n">
        <x:v>0.007076797158995766</x:v>
      </x:c>
      <x:c r="L23" s="13" t="n">
        <x:v>0.01014827762026611</x:v>
      </x:c>
      <x:c r="M23" s="13" t="n">
        <x:v>4445.7805319880135</x:v>
      </x:c>
      <x:c r="N23" s="13" t="n">
        <x:v>4445.750901645981</x:v>
      </x:c>
      <x:c r="O23" s="10" t="str">
        <x:v>completed</x:v>
      </x:c>
      <x:c r="P23" s="11" t="n">
        <x:v>5000</x:v>
      </x:c>
      <x:c r="Q23" s="11" t="n">
        <x:v>10000</x:v>
      </x:c>
      <x:c r="R23" s="11" t="n">
        <x:v>2</x:v>
      </x:c>
      <x:c r="S23" s="10" t="str">
        <x:v>r1</x:v>
      </x:c>
      <x:c r="T23" s="13" t="n">
        <x:v>1.07</x:v>
      </x:c>
      <x:c r="U23" s="13" t="n">
        <x:v>1.0607151985168457</x:v>
      </x:c>
      <x:c r="V23" s="13" t="n">
        <x:v>0.009284801483154359</x:v>
      </x:c>
      <x:c r="W23" s="13" t="str">
        <x:v>r2</x:v>
      </x:c>
      <x:c r="X23" s="13" t="n">
        <x:v>1.25</x:v>
      </x:c>
      <x:c r="Y23" s="13" t="n">
        <x:v>1.2972958087921143</x:v>
      </x:c>
      <x:c r="Z23" s="13" t="n">
        <x:v>0.04729580879211426</x:v>
      </x:c>
      <x:c r="AA23" s="10" t="str">
        <x:v>competition_three_method_inverse_20260822_063907_seed_20261001</x:v>
      </x:c>
    </x:row>
    <x:row r="24">
      <x:c r="A24" s="10" t="str">
        <x:v>Competition</x:v>
      </x:c>
      <x:c r="B24" s="11" t="n">
        <x:v>20261001</x:v>
      </x:c>
      <x:c r="C24" s="11" t="n">
        <x:v>2</x:v>
      </x:c>
      <x:c r="D24" s="12" t="n">
        <x:v>0.02</x:v>
      </x:c>
      <x:c r="E24" s="11" t="n">
        <x:v>1</x:v>
      </x:c>
      <x:c r="F24" s="11" t="n">
        <x:v>20</x:v>
      </x:c>
      <x:c r="G24" s="11" t="n">
        <x:v>2</x:v>
      </x:c>
      <x:c r="H24" s="11" t="n">
        <x:v>40</x:v>
      </x:c>
      <x:c r="I24" s="13" t="n">
        <x:v>0.05028610553352223</x:v>
      </x:c>
      <x:c r="J24" s="13" t="n">
        <x:v>0.030171663320113336</x:v>
      </x:c>
      <x:c r="K24" s="13" t="n">
        <x:v>0.010029860102087831</x:v>
      </x:c>
      <x:c r="L24" s="13" t="n">
        <x:v>0.011300975953863488</x:v>
      </x:c>
      <x:c r="M24" s="13" t="n">
        <x:v>3627.0562728480436</x:v>
      </x:c>
      <x:c r="N24" s="13" t="n">
        <x:v>3627.0237865839154</x:v>
      </x:c>
      <x:c r="O24" s="10" t="str">
        <x:v>completed</x:v>
      </x:c>
      <x:c r="P24" s="11" t="n">
        <x:v>5000</x:v>
      </x:c>
      <x:c r="Q24" s="11" t="n">
        <x:v>10000</x:v>
      </x:c>
      <x:c r="R24" s="11" t="n">
        <x:v>4</x:v>
      </x:c>
      <x:c r="S24" s="10" t="str">
        <x:v>r1</x:v>
      </x:c>
      <x:c r="T24" s="13" t="n">
        <x:v>0.89</x:v>
      </x:c>
      <x:c r="U24" s="13" t="n">
        <x:v>0.9089934825897217</x:v>
      </x:c>
      <x:c r="V24" s="13" t="n">
        <x:v>0.018993482589721666</x:v>
      </x:c>
      <x:c r="W24" s="13" t="str">
        <x:v>r2</x:v>
      </x:c>
      <x:c r="X24" s="13" t="n">
        <x:v>1.3699999999999999</x:v>
      </x:c>
      <x:c r="Y24" s="13" t="n">
        <x:v>1.3317912817001343</x:v>
      </x:c>
      <x:c r="Z24" s="13" t="n">
        <x:v>0.03820871829986561</x:v>
      </x:c>
      <x:c r="AA24" s="10" t="str">
        <x:v>competition_three_method_inverse_20260822_063907_seed_20261001</x:v>
      </x:c>
    </x:row>
    <x:row r="25">
      <x:c r="A25" s="10" t="str">
        <x:v>Competition</x:v>
      </x:c>
      <x:c r="B25" s="11" t="n">
        <x:v>20261001</x:v>
      </x:c>
      <x:c r="C25" s="11" t="n">
        <x:v>3</x:v>
      </x:c>
      <x:c r="D25" s="12" t="n">
        <x:v>0.02</x:v>
      </x:c>
      <x:c r="E25" s="11" t="n">
        <x:v>1</x:v>
      </x:c>
      <x:c r="F25" s="11" t="n">
        <x:v>20</x:v>
      </x:c>
      <x:c r="G25" s="11" t="n">
        <x:v>2</x:v>
      </x:c>
      <x:c r="H25" s="11" t="n">
        <x:v>40</x:v>
      </x:c>
      <x:c r="I25" s="13" t="n">
        <x:v>0.04067548359468183</x:v>
      </x:c>
      <x:c r="J25" s="13" t="n">
        <x:v>0.02440529015680909</x:v>
      </x:c>
      <x:c r="K25" s="13" t="n">
        <x:v>0.01208223796313521</x:v>
      </x:c>
      <x:c r="L25" s="13" t="n">
        <x:v>0.012079759437678443</x:v>
      </x:c>
      <x:c r="M25" s="13" t="n">
        <x:v>4284.41005716892</x:v>
      </x:c>
      <x:c r="N25" s="13" t="n">
        <x:v>4284.372515064664</x:v>
      </x:c>
      <x:c r="O25" s="10" t="str">
        <x:v>completed</x:v>
      </x:c>
      <x:c r="P25" s="11" t="n">
        <x:v>5000</x:v>
      </x:c>
      <x:c r="Q25" s="11" t="n">
        <x:v>10000</x:v>
      </x:c>
      <x:c r="R25" s="11" t="n">
        <x:v>0</x:v>
      </x:c>
      <x:c r="S25" s="10" t="str">
        <x:v>r1</x:v>
      </x:c>
      <x:c r="T25" s="13" t="n">
        <x:v>0.8300000000000001</x:v>
      </x:c>
      <x:c r="U25" s="13" t="n">
        <x:v>0.855522871017456</x:v>
      </x:c>
      <x:c r="V25" s="13" t="n">
        <x:v>0.025522871017455984</x:v>
      </x:c>
      <x:c r="W25" s="13" t="str">
        <x:v>r2</x:v>
      </x:c>
      <x:c r="X25" s="13" t="n">
        <x:v>1.13</x:v>
      </x:c>
      <x:c r="Y25" s="13" t="n">
        <x:v>1.1067659854888916</x:v>
      </x:c>
      <x:c r="Z25" s="13" t="n">
        <x:v>0.023234014511108292</x:v>
      </x:c>
      <x:c r="AA25" s="10" t="str">
        <x:v>competition_three_method_inverse_20260822_063907_seed_20261001</x:v>
      </x:c>
    </x:row>
    <x:row r="26">
      <x:c r="A26" s="10" t="str">
        <x:v>Competition</x:v>
      </x:c>
      <x:c r="B26" s="11" t="n">
        <x:v>20261001</x:v>
      </x:c>
      <x:c r="C26" s="11" t="n">
        <x:v>4</x:v>
      </x:c>
      <x:c r="D26" s="12" t="n">
        <x:v>0.02</x:v>
      </x:c>
      <x:c r="E26" s="11" t="n">
        <x:v>1</x:v>
      </x:c>
      <x:c r="F26" s="11" t="n">
        <x:v>20</x:v>
      </x:c>
      <x:c r="G26" s="11" t="n">
        <x:v>2</x:v>
      </x:c>
      <x:c r="H26" s="11" t="n">
        <x:v>40</x:v>
      </x:c>
      <x:c r="I26" s="13" t="n">
        <x:v>0.07730959512854428</x:v>
      </x:c>
      <x:c r="J26" s="13" t="n">
        <x:v>0.04638575707712656</x:v>
      </x:c>
      <x:c r="K26" s="13" t="n">
        <x:v>0.007366321084877449</x:v>
      </x:c>
      <x:c r="L26" s="13" t="n">
        <x:v>0.010986640089490938</x:v>
      </x:c>
      <x:c r="M26" s="13" t="n">
        <x:v>4320.828865015879</x:v>
      </x:c>
      <x:c r="N26" s="13" t="n">
        <x:v>4320.794724221807</x:v>
      </x:c>
      <x:c r="O26" s="10" t="str">
        <x:v>completed</x:v>
      </x:c>
      <x:c r="P26" s="11" t="n">
        <x:v>5000</x:v>
      </x:c>
      <x:c r="Q26" s="11" t="n">
        <x:v>10000</x:v>
      </x:c>
      <x:c r="R26" s="11" t="n">
        <x:v>0</x:v>
      </x:c>
      <x:c r="S26" s="10" t="str">
        <x:v>r1</x:v>
      </x:c>
      <x:c r="T26" s="13" t="n">
        <x:v>1.13</x:v>
      </x:c>
      <x:c r="U26" s="13" t="n">
        <x:v>1.149690866470337</x:v>
      </x:c>
      <x:c r="V26" s="13" t="n">
        <x:v>0.01969086647033702</x:v>
      </x:c>
      <x:c r="W26" s="13" t="str">
        <x:v>r2</x:v>
      </x:c>
      <x:c r="X26" s="13" t="n">
        <x:v>1.31</x:v>
      </x:c>
      <x:c r="Y26" s="13" t="n">
        <x:v>1.3725743293762207</x:v>
      </x:c>
      <x:c r="Z26" s="13" t="n">
        <x:v>0.06257432937622065</x:v>
      </x:c>
      <x:c r="AA26" s="10" t="str">
        <x:v>competition_three_method_inverse_20260822_063907_seed_20261001</x:v>
      </x:c>
    </x:row>
    <x:row r="27">
      <x:c r="A27" s="10" t="str">
        <x:v>Competition</x:v>
      </x:c>
      <x:c r="B27" s="11" t="n">
        <x:v>20261001</x:v>
      </x:c>
      <x:c r="C27" s="11" t="n">
        <x:v>5</x:v>
      </x:c>
      <x:c r="D27" s="12" t="n">
        <x:v>0.02</x:v>
      </x:c>
      <x:c r="E27" s="11" t="n">
        <x:v>1</x:v>
      </x:c>
      <x:c r="F27" s="11" t="n">
        <x:v>20</x:v>
      </x:c>
      <x:c r="G27" s="11" t="n">
        <x:v>2</x:v>
      </x:c>
      <x:c r="H27" s="11" t="n">
        <x:v>40</x:v>
      </x:c>
      <x:c r="I27" s="13" t="n">
        <x:v>0.06382015956025239</x:v>
      </x:c>
      <x:c r="J27" s="13" t="n">
        <x:v>0.03829209573615142</x:v>
      </x:c>
      <x:c r="K27" s="13" t="n">
        <x:v>0.007735248555015991</x:v>
      </x:c>
      <x:c r="L27" s="13" t="n">
        <x:v>0.012363703171615602</x:v>
      </x:c>
      <x:c r="M27" s="13" t="n">
        <x:v>3507.358790441416</x:v>
      </x:c>
      <x:c r="N27" s="13" t="n">
        <x:v>3507.3309766682796</x:v>
      </x:c>
      <x:c r="O27" s="10" t="str">
        <x:v>completed</x:v>
      </x:c>
      <x:c r="P27" s="11" t="n">
        <x:v>5000</x:v>
      </x:c>
      <x:c r="Q27" s="11" t="n">
        <x:v>10000</x:v>
      </x:c>
      <x:c r="R27" s="11" t="n">
        <x:v>2</x:v>
      </x:c>
      <x:c r="S27" s="10" t="str">
        <x:v>r1</x:v>
      </x:c>
      <x:c r="T27" s="13" t="n">
        <x:v>1.31</x:v>
      </x:c>
      <x:c r="U27" s="13" t="n">
        <x:v>1.2561625242233276</x:v>
      </x:c>
      <x:c r="V27" s="13" t="n">
        <x:v>0.05383747577667242</x:v>
      </x:c>
      <x:c r="W27" s="13" t="str">
        <x:v>r2</x:v>
      </x:c>
      <x:c r="X27" s="13" t="n">
        <x:v>0.8300000000000001</x:v>
      </x:c>
      <x:c r="Y27" s="13" t="n">
        <x:v>0.8241608738899231</x:v>
      </x:c>
      <x:c r="Z27" s="13" t="n">
        <x:v>0.005839126110076975</x:v>
      </x:c>
      <x:c r="AA27" s="10" t="str">
        <x:v>competition_three_method_inverse_20260822_063907_seed_20261001</x:v>
      </x:c>
    </x:row>
    <x:row r="28">
      <x:c r="A28" s="10" t="str">
        <x:v>Competition</x:v>
      </x:c>
      <x:c r="B28" s="11" t="n">
        <x:v>20261001</x:v>
      </x:c>
      <x:c r="C28" s="11" t="n">
        <x:v>6</x:v>
      </x:c>
      <x:c r="D28" s="12" t="n">
        <x:v>0.02</x:v>
      </x:c>
      <x:c r="E28" s="11" t="n">
        <x:v>1</x:v>
      </x:c>
      <x:c r="F28" s="11" t="n">
        <x:v>20</x:v>
      </x:c>
      <x:c r="G28" s="11" t="n">
        <x:v>2</x:v>
      </x:c>
      <x:c r="H28" s="11" t="n">
        <x:v>40</x:v>
      </x:c>
      <x:c r="I28" s="13" t="n">
        <x:v>0.0350124701698052</x:v>
      </x:c>
      <x:c r="J28" s="13" t="n">
        <x:v>0.021007482101883117</x:v>
      </x:c>
      <x:c r="K28" s="13" t="n">
        <x:v>0.005565265825368952</x:v>
      </x:c>
      <x:c r="L28" s="13" t="n">
        <x:v>0.009125801584304302</x:v>
      </x:c>
      <x:c r="M28" s="13" t="n">
        <x:v>3636.164824469015</x:v>
      </x:c>
      <x:c r="N28" s="13" t="n">
        <x:v>3636.1360450340435</x:v>
      </x:c>
      <x:c r="O28" s="10" t="str">
        <x:v>completed</x:v>
      </x:c>
      <x:c r="P28" s="11" t="n">
        <x:v>5000</x:v>
      </x:c>
      <x:c r="Q28" s="11" t="n">
        <x:v>10000</x:v>
      </x:c>
      <x:c r="R28" s="11" t="n">
        <x:v>0</x:v>
      </x:c>
      <x:c r="S28" s="10" t="str">
        <x:v>r1</x:v>
      </x:c>
      <x:c r="T28" s="13" t="n">
        <x:v>0.95</x:v>
      </x:c>
      <x:c r="U28" s="13" t="n">
        <x:v>0.9285947680473328</x:v>
      </x:c>
      <x:c r="V28" s="13" t="n">
        <x:v>0.021405231952667192</x:v>
      </x:c>
      <x:c r="W28" s="13" t="str">
        <x:v>r2</x:v>
      </x:c>
      <x:c r="X28" s="13" t="n">
        <x:v>1.07</x:v>
      </x:c>
      <x:c r="Y28" s="13" t="n">
        <x:v>1.0493979454040527</x:v>
      </x:c>
      <x:c r="Z28" s="13" t="n">
        <x:v>0.020602054595947328</x:v>
      </x:c>
      <x:c r="AA28" s="10" t="str">
        <x:v>competition_three_method_inverse_20260822_063907_seed_20261001</x:v>
      </x:c>
    </x:row>
    <x:row r="29">
      <x:c r="A29" s="10" t="str">
        <x:v>Competition</x:v>
      </x:c>
      <x:c r="B29" s="11" t="n">
        <x:v>20261001</x:v>
      </x:c>
      <x:c r="C29" s="11" t="n">
        <x:v>7</x:v>
      </x:c>
      <x:c r="D29" s="12" t="n">
        <x:v>0.02</x:v>
      </x:c>
      <x:c r="E29" s="11" t="n">
        <x:v>1</x:v>
      </x:c>
      <x:c r="F29" s="11" t="n">
        <x:v>20</x:v>
      </x:c>
      <x:c r="G29" s="11" t="n">
        <x:v>2</x:v>
      </x:c>
      <x:c r="H29" s="11" t="n">
        <x:v>40</x:v>
      </x:c>
      <x:c r="I29" s="13" t="n">
        <x:v>0.041771832348020066</x:v>
      </x:c>
      <x:c r="J29" s="13" t="n">
        <x:v>0.02506309940881203</x:v>
      </x:c>
      <x:c r="K29" s="13" t="n">
        <x:v>0.0065305882516190905</x:v>
      </x:c>
      <x:c r="L29" s="13" t="n">
        <x:v>0.011378056878207874</x:v>
      </x:c>
      <x:c r="M29" s="13" t="n">
        <x:v>4148.524105618242</x:v>
      </x:c>
      <x:c r="N29" s="13" t="n">
        <x:v>4148.485678314697</x:v>
      </x:c>
      <x:c r="O29" s="10" t="str">
        <x:v>completed</x:v>
      </x:c>
      <x:c r="P29" s="11" t="n">
        <x:v>5000</x:v>
      </x:c>
      <x:c r="Q29" s="11" t="n">
        <x:v>10000</x:v>
      </x:c>
      <x:c r="R29" s="11" t="n">
        <x:v>4</x:v>
      </x:c>
      <x:c r="S29" s="10" t="str">
        <x:v>r1</x:v>
      </x:c>
      <x:c r="T29" s="13" t="n">
        <x:v>1.01</x:v>
      </x:c>
      <x:c r="U29" s="13" t="n">
        <x:v>1.0380457639694214</x:v>
      </x:c>
      <x:c r="V29" s="13" t="n">
        <x:v>0.028045763969421378</x:v>
      </x:c>
      <x:c r="W29" s="13" t="str">
        <x:v>r2</x:v>
      </x:c>
      <x:c r="X29" s="13" t="n">
        <x:v>0.95</x:v>
      </x:c>
      <x:c r="Y29" s="13" t="n">
        <x:v>0.9716737866401672</x:v>
      </x:c>
      <x:c r="Z29" s="13" t="n">
        <x:v>0.02167378664016728</x:v>
      </x:c>
      <x:c r="AA29" s="10" t="str">
        <x:v>competition_three_method_inverse_20260822_063907_seed_20261001</x:v>
      </x:c>
    </x:row>
    <x:row r="30">
      <x:c r="A30" s="10" t="str">
        <x:v>Competition</x:v>
      </x:c>
      <x:c r="B30" s="11" t="n">
        <x:v>20261001</x:v>
      </x:c>
      <x:c r="C30" s="11" t="n">
        <x:v>8</x:v>
      </x:c>
      <x:c r="D30" s="12" t="n">
        <x:v>0.02</x:v>
      </x:c>
      <x:c r="E30" s="11" t="n">
        <x:v>1</x:v>
      </x:c>
      <x:c r="F30" s="11" t="n">
        <x:v>20</x:v>
      </x:c>
      <x:c r="G30" s="11" t="n">
        <x:v>2</x:v>
      </x:c>
      <x:c r="H30" s="11" t="n">
        <x:v>40</x:v>
      </x:c>
      <x:c r="I30" s="13" t="n">
        <x:v>0.034100101120111845</x:v>
      </x:c>
      <x:c r="J30" s="13" t="n">
        <x:v>0.020460060672067105</x:v>
      </x:c>
      <x:c r="K30" s="13" t="n">
        <x:v>0.004127154510284822</x:v>
      </x:c>
      <x:c r="L30" s="13" t="n">
        <x:v>0.00817656140162226</x:v>
      </x:c>
      <x:c r="M30" s="13" t="n">
        <x:v>3009.3180616097525</x:v>
      </x:c>
      <x:c r="N30" s="13" t="n">
        <x:v>3009.280337610282</x:v>
      </x:c>
      <x:c r="O30" s="10" t="str">
        <x:v>completed</x:v>
      </x:c>
      <x:c r="P30" s="11" t="n">
        <x:v>5000</x:v>
      </x:c>
      <x:c r="Q30" s="11" t="n">
        <x:v>10000</x:v>
      </x:c>
      <x:c r="R30" s="11" t="n">
        <x:v>3</x:v>
      </x:c>
      <x:c r="S30" s="10" t="str">
        <x:v>r1</x:v>
      </x:c>
      <x:c r="T30" s="13" t="n">
        <x:v>1.25</x:v>
      </x:c>
      <x:c r="U30" s="13" t="n">
        <x:v>1.2780441045761108</x:v>
      </x:c>
      <x:c r="V30" s="13" t="n">
        <x:v>0.02804410457611084</x:v>
      </x:c>
      <x:c r="W30" s="13" t="str">
        <x:v>r2</x:v>
      </x:c>
      <x:c r="X30" s="13" t="n">
        <x:v>0.89</x:v>
      </x:c>
      <x:c r="Y30" s="13" t="n">
        <x:v>0.8971243500709534</x:v>
      </x:c>
      <x:c r="Z30" s="13" t="n">
        <x:v>0.007124350070953356</x:v>
      </x:c>
      <x:c r="AA30" s="10" t="str">
        <x:v>competition_three_method_inverse_20260822_063907_seed_20261001</x:v>
      </x:c>
    </x:row>
    <x:row r="31">
      <x:c r="A31" s="10" t="str">
        <x:v>Competition</x:v>
      </x:c>
      <x:c r="B31" s="11" t="n">
        <x:v>20261001</x:v>
      </x:c>
      <x:c r="C31" s="11" t="n">
        <x:v>9</x:v>
      </x:c>
      <x:c r="D31" s="12" t="n">
        <x:v>0.02</x:v>
      </x:c>
      <x:c r="E31" s="11" t="n">
        <x:v>1</x:v>
      </x:c>
      <x:c r="F31" s="11" t="n">
        <x:v>20</x:v>
      </x:c>
      <x:c r="G31" s="11" t="n">
        <x:v>2</x:v>
      </x:c>
      <x:c r="H31" s="11" t="n">
        <x:v>40</x:v>
      </x:c>
      <x:c r="I31" s="13" t="n">
        <x:v>0.04606147387271976</x:v>
      </x:c>
      <x:c r="J31" s="13" t="n">
        <x:v>0.02763688432363185</x:v>
      </x:c>
      <x:c r="K31" s="13" t="n">
        <x:v>0.005183114111148781</x:v>
      </x:c>
      <x:c r="L31" s="13" t="n">
        <x:v>0.01002320021575857</x:v>
      </x:c>
      <x:c r="M31" s="13" t="n">
        <x:v>4189.996725086123</x:v>
      </x:c>
      <x:c r="N31" s="13" t="n">
        <x:v>4189.959182832856</x:v>
      </x:c>
      <x:c r="O31" s="10" t="str">
        <x:v>completed</x:v>
      </x:c>
      <x:c r="P31" s="11" t="n">
        <x:v>5000</x:v>
      </x:c>
      <x:c r="Q31" s="11" t="n">
        <x:v>10000</x:v>
      </x:c>
      <x:c r="R31" s="11" t="n">
        <x:v>1</x:v>
      </x:c>
      <x:c r="S31" s="10" t="str">
        <x:v>r1</x:v>
      </x:c>
      <x:c r="T31" s="13" t="n">
        <x:v>1.3699999999999999</x:v>
      </x:c>
      <x:c r="U31" s="13" t="n">
        <x:v>1.3901753425598145</x:v>
      </x:c>
      <x:c r="V31" s="13" t="n">
        <x:v>0.02017534255981457</x:v>
      </x:c>
      <x:c r="W31" s="13" t="str">
        <x:v>r2</x:v>
      </x:c>
      <x:c r="X31" s="13" t="n">
        <x:v>1.19</x:v>
      </x:c>
      <x:c r="Y31" s="13" t="n">
        <x:v>1.2234746217727661</x:v>
      </x:c>
      <x:c r="Z31" s="13" t="n">
        <x:v>0.03347462177276617</x:v>
      </x:c>
      <x:c r="AA31" s="10" t="str">
        <x:v>competition_three_method_inverse_20260822_063907_seed_20261001</x:v>
      </x:c>
    </x:row>
    <x:row r="32">
      <x:c r="A32" s="10" t="str">
        <x:v>Competition</x:v>
      </x:c>
      <x:c r="B32" s="11" t="n">
        <x:v>20261001</x:v>
      </x:c>
      <x:c r="C32" s="11" t="n">
        <x:v>0</x:v>
      </x:c>
      <x:c r="D32" s="12" t="n">
        <x:v>0.05</x:v>
      </x:c>
      <x:c r="E32" s="11" t="n">
        <x:v>1</x:v>
      </x:c>
      <x:c r="F32" s="11" t="n">
        <x:v>20</x:v>
      </x:c>
      <x:c r="G32" s="11" t="n">
        <x:v>2</x:v>
      </x:c>
      <x:c r="H32" s="11" t="n">
        <x:v>40</x:v>
      </x:c>
      <x:c r="I32" s="13" t="n">
        <x:v>0.029181730590109527</x:v>
      </x:c>
      <x:c r="J32" s="13" t="n">
        <x:v>0.017509038354065715</x:v>
      </x:c>
      <x:c r="K32" s="13" t="n">
        <x:v>0.006408337628799319</x:v>
      </x:c>
      <x:c r="L32" s="13" t="n">
        <x:v>0.029904771485065564</x:v>
      </x:c>
      <x:c r="M32" s="13" t="n">
        <x:v>15298.273074975703</x:v>
      </x:c>
      <x:c r="N32" s="13" t="n">
        <x:v>15297.924632768147</x:v>
      </x:c>
      <x:c r="O32" s="10" t="str">
        <x:v>completed</x:v>
      </x:c>
      <x:c r="P32" s="11" t="n">
        <x:v>5000</x:v>
      </x:c>
      <x:c r="Q32" s="11" t="n">
        <x:v>10000</x:v>
      </x:c>
      <x:c r="R32" s="11" t="n">
        <x:v>2</x:v>
      </x:c>
      <x:c r="S32" s="10" t="str">
        <x:v>r1</x:v>
      </x:c>
      <x:c r="T32" s="13" t="n">
        <x:v>1.19</x:v>
      </x:c>
      <x:c r="U32" s="13" t="n">
        <x:v>1.184792399406433</x:v>
      </x:c>
      <x:c r="V32" s="13" t="n">
        <x:v>0.005207600593566841</x:v>
      </x:c>
      <x:c r="W32" s="13" t="str">
        <x:v>r2</x:v>
      </x:c>
      <x:c r="X32" s="13" t="n">
        <x:v>1.01</x:v>
      </x:c>
      <x:c r="Y32" s="13" t="n">
        <x:v>0.9857922792434692</x:v>
      </x:c>
      <x:c r="Z32" s="13" t="n">
        <x:v>0.02420772075653077</x:v>
      </x:c>
      <x:c r="AA32" s="10" t="str">
        <x:v>competition_three_method_inverse_20260822_063907_seed_20261001</x:v>
      </x:c>
    </x:row>
    <x:row r="33">
      <x:c r="A33" s="10" t="str">
        <x:v>Competition</x:v>
      </x:c>
      <x:c r="B33" s="11" t="n">
        <x:v>20261001</x:v>
      </x:c>
      <x:c r="C33" s="11" t="n">
        <x:v>1</x:v>
      </x:c>
      <x:c r="D33" s="12" t="n">
        <x:v>0.05</x:v>
      </x:c>
      <x:c r="E33" s="11" t="n">
        <x:v>1</x:v>
      </x:c>
      <x:c r="F33" s="11" t="n">
        <x:v>20</x:v>
      </x:c>
      <x:c r="G33" s="11" t="n">
        <x:v>2</x:v>
      </x:c>
      <x:c r="H33" s="11" t="n">
        <x:v>40</x:v>
      </x:c>
      <x:c r="I33" s="13" t="n">
        <x:v>0.16945870972524682</x:v>
      </x:c>
      <x:c r="J33" s="13" t="n">
        <x:v>0.10167522583514806</x:v>
      </x:c>
      <x:c r="K33" s="13" t="n">
        <x:v>0.014818563193070927</x:v>
      </x:c>
      <x:c r="L33" s="13" t="n">
        <x:v>0.023160980522351455</x:v>
      </x:c>
      <x:c r="M33" s="13" t="n">
        <x:v>3610.6622083820403</x:v>
      </x:c>
      <x:c r="N33" s="13" t="n">
        <x:v>3610.639562048018</x:v>
      </x:c>
      <x:c r="O33" s="10" t="str">
        <x:v>completed</x:v>
      </x:c>
      <x:c r="P33" s="11" t="n">
        <x:v>5000</x:v>
      </x:c>
      <x:c r="Q33" s="11" t="n">
        <x:v>10000</x:v>
      </x:c>
      <x:c r="R33" s="11" t="n">
        <x:v>3</x:v>
      </x:c>
      <x:c r="S33" s="10" t="str">
        <x:v>r1</x:v>
      </x:c>
      <x:c r="T33" s="13" t="n">
        <x:v>1.07</x:v>
      </x:c>
      <x:c r="U33" s="13" t="n">
        <x:v>1.1042250394821167</x:v>
      </x:c>
      <x:c r="V33" s="13" t="n">
        <x:v>0.03422503948211664</x:v>
      </x:c>
      <x:c r="W33" s="13" t="str">
        <x:v>r2</x:v>
      </x:c>
      <x:c r="X33" s="13" t="n">
        <x:v>1.25</x:v>
      </x:c>
      <x:c r="Y33" s="13" t="n">
        <x:v>1.389657974243164</x:v>
      </x:c>
      <x:c r="Z33" s="13" t="n">
        <x:v>0.13965797424316406</x:v>
      </x:c>
      <x:c r="AA33" s="10" t="str">
        <x:v>competition_three_method_inverse_20260822_063907_seed_20261001</x:v>
      </x:c>
    </x:row>
    <x:row r="34">
      <x:c r="A34" s="10" t="str">
        <x:v>Competition</x:v>
      </x:c>
      <x:c r="B34" s="11" t="n">
        <x:v>20261001</x:v>
      </x:c>
      <x:c r="C34" s="11" t="n">
        <x:v>2</x:v>
      </x:c>
      <x:c r="D34" s="12" t="n">
        <x:v>0.05</x:v>
      </x:c>
      <x:c r="E34" s="11" t="n">
        <x:v>1</x:v>
      </x:c>
      <x:c r="F34" s="11" t="n">
        <x:v>20</x:v>
      </x:c>
      <x:c r="G34" s="11" t="n">
        <x:v>2</x:v>
      </x:c>
      <x:c r="H34" s="11" t="n">
        <x:v>40</x:v>
      </x:c>
      <x:c r="I34" s="13" t="n">
        <x:v>0.10414590375351455</x:v>
      </x:c>
      <x:c r="J34" s="13" t="n">
        <x:v>0.06248754225210872</x:v>
      </x:c>
      <x:c r="K34" s="13" t="n">
        <x:v>0.017807080707341553</x:v>
      </x:c>
      <x:c r="L34" s="13" t="n">
        <x:v>0.027832108912841432</x:v>
      </x:c>
      <x:c r="M34" s="13" t="n">
        <x:v>10209.341182426084</x:v>
      </x:c>
      <x:c r="N34" s="13" t="n">
        <x:v>10208.891064518131</x:v>
      </x:c>
      <x:c r="O34" s="10" t="str">
        <x:v>completed</x:v>
      </x:c>
      <x:c r="P34" s="11" t="n">
        <x:v>5000</x:v>
      </x:c>
      <x:c r="Q34" s="11" t="n">
        <x:v>10000</x:v>
      </x:c>
      <x:c r="R34" s="11" t="n">
        <x:v>1</x:v>
      </x:c>
      <x:c r="S34" s="10" t="str">
        <x:v>r1</x:v>
      </x:c>
      <x:c r="T34" s="13" t="n">
        <x:v>0.89</x:v>
      </x:c>
      <x:c r="U34" s="13" t="n">
        <x:v>0.9139265418052673</x:v>
      </x:c>
      <x:c r="V34" s="13" t="n">
        <x:v>0.02392654180526732</x:v>
      </x:c>
      <x:c r="W34" s="13" t="str">
        <x:v>r2</x:v>
      </x:c>
      <x:c r="X34" s="13" t="n">
        <x:v>1.3699999999999999</x:v>
      </x:c>
      <x:c r="Y34" s="13" t="n">
        <x:v>1.2849299907684326</x:v>
      </x:c>
      <x:c r="Z34" s="13" t="n">
        <x:v>0.08507000923156727</x:v>
      </x:c>
      <x:c r="AA34" s="10" t="str">
        <x:v>competition_three_method_inverse_20260822_063907_seed_20261001</x:v>
      </x:c>
    </x:row>
    <x:row r="35">
      <x:c r="A35" s="10" t="str">
        <x:v>Competition</x:v>
      </x:c>
      <x:c r="B35" s="11" t="n">
        <x:v>20261001</x:v>
      </x:c>
      <x:c r="C35" s="11" t="n">
        <x:v>3</x:v>
      </x:c>
      <x:c r="D35" s="12" t="n">
        <x:v>0.05</x:v>
      </x:c>
      <x:c r="E35" s="11" t="n">
        <x:v>1</x:v>
      </x:c>
      <x:c r="F35" s="11" t="n">
        <x:v>20</x:v>
      </x:c>
      <x:c r="G35" s="11" t="n">
        <x:v>2</x:v>
      </x:c>
      <x:c r="H35" s="11" t="n">
        <x:v>40</x:v>
      </x:c>
      <x:c r="I35" s="13" t="n">
        <x:v>0.10131485659978888</x:v>
      </x:c>
      <x:c r="J35" s="13" t="n">
        <x:v>0.06078891395987331</x:v>
      </x:c>
      <x:c r="K35" s="13" t="n">
        <x:v>0.029768635848468443</x:v>
      </x:c>
      <x:c r="L35" s="13" t="n">
        <x:v>0.0296492266055085</x:v>
      </x:c>
      <x:c r="M35" s="13" t="n">
        <x:v>5560.0703025003895</x:v>
      </x:c>
      <x:c r="N35" s="13" t="n">
        <x:v>5560.057541761082</x:v>
      </x:c>
      <x:c r="O35" s="10" t="str">
        <x:v>completed</x:v>
      </x:c>
      <x:c r="P35" s="11" t="n">
        <x:v>5000</x:v>
      </x:c>
      <x:c r="Q35" s="11" t="n">
        <x:v>10000</x:v>
      </x:c>
      <x:c r="R35" s="11" t="n">
        <x:v>1</x:v>
      </x:c>
      <x:c r="S35" s="10" t="str">
        <x:v>r1</x:v>
      </x:c>
      <x:c r="T35" s="13" t="n">
        <x:v>0.8300000000000001</x:v>
      </x:c>
      <x:c r="U35" s="13" t="n">
        <x:v>0.8949398398399353</x:v>
      </x:c>
      <x:c r="V35" s="13" t="n">
        <x:v>0.06493983983993523</x:v>
      </x:c>
      <x:c r="W35" s="13" t="str">
        <x:v>r2</x:v>
      </x:c>
      <x:c r="X35" s="13" t="n">
        <x:v>1.13</x:v>
      </x:c>
      <x:c r="Y35" s="13" t="n">
        <x:v>1.073667049407959</x:v>
      </x:c>
      <x:c r="Z35" s="13" t="n">
        <x:v>0.05633295059204091</x:v>
      </x:c>
      <x:c r="AA35" s="10" t="str">
        <x:v>competition_three_method_inverse_20260822_063907_seed_20261001</x:v>
      </x:c>
    </x:row>
    <x:row r="36">
      <x:c r="A36" s="10" t="str">
        <x:v>Competition</x:v>
      </x:c>
      <x:c r="B36" s="11" t="n">
        <x:v>20261001</x:v>
      </x:c>
      <x:c r="C36" s="11" t="n">
        <x:v>4</x:v>
      </x:c>
      <x:c r="D36" s="12" t="n">
        <x:v>0.05</x:v>
      </x:c>
      <x:c r="E36" s="11" t="n">
        <x:v>1</x:v>
      </x:c>
      <x:c r="F36" s="11" t="n">
        <x:v>20</x:v>
      </x:c>
      <x:c r="G36" s="11" t="n">
        <x:v>2</x:v>
      </x:c>
      <x:c r="H36" s="11" t="n">
        <x:v>40</x:v>
      </x:c>
      <x:c r="I36" s="13" t="n">
        <x:v>0.11427315049854718</x:v>
      </x:c>
      <x:c r="J36" s="13" t="n">
        <x:v>0.0685638902991283</x:v>
      </x:c>
      <x:c r="K36" s="13" t="n">
        <x:v>0.010615503521113569</x:v>
      </x:c>
      <x:c r="L36" s="13" t="n">
        <x:v>0.02498469402900213</x:v>
      </x:c>
      <x:c r="M36" s="13" t="n">
        <x:v>3972.253851239104</x:v>
      </x:c>
      <x:c r="N36" s="13" t="n">
        <x:v>3972.2142828553915</x:v>
      </x:c>
      <x:c r="O36" s="10" t="str">
        <x:v>completed</x:v>
      </x:c>
      <x:c r="P36" s="11" t="n">
        <x:v>5000</x:v>
      </x:c>
      <x:c r="Q36" s="11" t="n">
        <x:v>10000</x:v>
      </x:c>
      <x:c r="R36" s="11" t="n">
        <x:v>0</x:v>
      </x:c>
      <x:c r="S36" s="10" t="str">
        <x:v>r1</x:v>
      </x:c>
      <x:c r="T36" s="13" t="n">
        <x:v>1.13</x:v>
      </x:c>
      <x:c r="U36" s="13" t="n">
        <x:v>1.1674168109893799</x:v>
      </x:c>
      <x:c r="V36" s="13" t="n">
        <x:v>0.03741681098937999</x:v>
      </x:c>
      <x:c r="W36" s="13" t="str">
        <x:v>r2</x:v>
      </x:c>
      <x:c r="X36" s="13" t="n">
        <x:v>1.31</x:v>
      </x:c>
      <x:c r="Y36" s="13" t="n">
        <x:v>1.39945387840271</x:v>
      </x:c>
      <x:c r="Z36" s="13" t="n">
        <x:v>0.08945387840270991</x:v>
      </x:c>
      <x:c r="AA36" s="10" t="str">
        <x:v>competition_three_method_inverse_20260822_063907_seed_20261001</x:v>
      </x:c>
    </x:row>
    <x:row r="37">
      <x:c r="A37" s="10" t="str">
        <x:v>Competition</x:v>
      </x:c>
      <x:c r="B37" s="11" t="n">
        <x:v>20261001</x:v>
      </x:c>
      <x:c r="C37" s="11" t="n">
        <x:v>5</x:v>
      </x:c>
      <x:c r="D37" s="12" t="n">
        <x:v>0.05</x:v>
      </x:c>
      <x:c r="E37" s="11" t="n">
        <x:v>1</x:v>
      </x:c>
      <x:c r="F37" s="11" t="n">
        <x:v>20</x:v>
      </x:c>
      <x:c r="G37" s="11" t="n">
        <x:v>2</x:v>
      </x:c>
      <x:c r="H37" s="11" t="n">
        <x:v>40</x:v>
      </x:c>
      <x:c r="I37" s="13" t="n">
        <x:v>0.16179713116948166</x:v>
      </x:c>
      <x:c r="J37" s="13" t="n">
        <x:v>0.09707827870168899</x:v>
      </x:c>
      <x:c r="K37" s="13" t="n">
        <x:v>0.019898805458053188</x:v>
      </x:c>
      <x:c r="L37" s="13" t="n">
        <x:v>0.03101335914622247</x:v>
      </x:c>
      <x:c r="M37" s="13" t="n">
        <x:v>9626.60046155192</x:v>
      </x:c>
      <x:c r="N37" s="13" t="n">
        <x:v>9626.399694596883</x:v>
      </x:c>
      <x:c r="O37" s="10" t="str">
        <x:v>completed</x:v>
      </x:c>
      <x:c r="P37" s="11" t="n">
        <x:v>5000</x:v>
      </x:c>
      <x:c r="Q37" s="11" t="n">
        <x:v>10000</x:v>
      </x:c>
      <x:c r="R37" s="11" t="n">
        <x:v>4</x:v>
      </x:c>
      <x:c r="S37" s="10" t="str">
        <x:v>r1</x:v>
      </x:c>
      <x:c r="T37" s="13" t="n">
        <x:v>1.31</x:v>
      </x:c>
      <x:c r="U37" s="13" t="n">
        <x:v>1.1754677295684814</x:v>
      </x:c>
      <x:c r="V37" s="13" t="n">
        <x:v>0.1345322704315186</x:v>
      </x:c>
      <x:c r="W37" s="13" t="str">
        <x:v>r2</x:v>
      </x:c>
      <x:c r="X37" s="13" t="n">
        <x:v>0.8300000000000001</x:v>
      </x:c>
      <x:c r="Y37" s="13" t="n">
        <x:v>0.8026238679885864</x:v>
      </x:c>
      <x:c r="Z37" s="13" t="n">
        <x:v>0.027376132011413645</x:v>
      </x:c>
      <x:c r="AA37" s="10" t="str">
        <x:v>competition_three_method_inverse_20260822_063907_seed_20261001</x:v>
      </x:c>
    </x:row>
    <x:row r="38">
      <x:c r="A38" s="10" t="str">
        <x:v>Competition</x:v>
      </x:c>
      <x:c r="B38" s="11" t="n">
        <x:v>20261001</x:v>
      </x:c>
      <x:c r="C38" s="11" t="n">
        <x:v>6</x:v>
      </x:c>
      <x:c r="D38" s="12" t="n">
        <x:v>0.05</x:v>
      </x:c>
      <x:c r="E38" s="11" t="n">
        <x:v>1</x:v>
      </x:c>
      <x:c r="F38" s="11" t="n">
        <x:v>20</x:v>
      </x:c>
      <x:c r="G38" s="11" t="n">
        <x:v>2</x:v>
      </x:c>
      <x:c r="H38" s="11" t="n">
        <x:v>40</x:v>
      </x:c>
      <x:c r="I38" s="13" t="n">
        <x:v>0.17858533141096836</x:v>
      </x:c>
      <x:c r="J38" s="13" t="n">
        <x:v>0.107151198846581</x:v>
      </x:c>
      <x:c r="K38" s="13" t="n">
        <x:v>0.036400569825775594</x:v>
      </x:c>
      <x:c r="L38" s="13" t="n">
        <x:v>0.023888801514930013</x:v>
      </x:c>
      <x:c r="M38" s="13" t="n">
        <x:v>19215.165223788936</x:v>
      </x:c>
      <x:c r="N38" s="13" t="n">
        <x:v>19215.14125869982</x:v>
      </x:c>
      <x:c r="O38" s="10" t="str">
        <x:v>completed</x:v>
      </x:c>
      <x:c r="P38" s="11" t="n">
        <x:v>5000</x:v>
      </x:c>
      <x:c r="Q38" s="11" t="n">
        <x:v>10000</x:v>
      </x:c>
      <x:c r="R38" s="11" t="n">
        <x:v>2</x:v>
      </x:c>
      <x:c r="S38" s="10" t="str">
        <x:v>r1</x:v>
      </x:c>
      <x:c r="T38" s="13" t="n">
        <x:v>0.95</x:v>
      </x:c>
      <x:c r="U38" s="13" t="n">
        <x:v>0.9601734280586243</x:v>
      </x:c>
      <x:c r="V38" s="13" t="n">
        <x:v>0.010173428058624312</x:v>
      </x:c>
      <x:c r="W38" s="13" t="str">
        <x:v>r2</x:v>
      </x:c>
      <x:c r="X38" s="13" t="n">
        <x:v>1.07</x:v>
      </x:c>
      <x:c r="Y38" s="13" t="n">
        <x:v>0.9188072085380554</x:v>
      </x:c>
      <x:c r="Z38" s="13" t="n">
        <x:v>0.15119279146194464</x:v>
      </x:c>
      <x:c r="AA38" s="10" t="str">
        <x:v>competition_three_method_inverse_20260822_063907_seed_20261001</x:v>
      </x:c>
    </x:row>
    <x:row r="39">
      <x:c r="A39" s="10" t="str">
        <x:v>Competition</x:v>
      </x:c>
      <x:c r="B39" s="11" t="n">
        <x:v>20261001</x:v>
      </x:c>
      <x:c r="C39" s="11" t="n">
        <x:v>7</x:v>
      </x:c>
      <x:c r="D39" s="12" t="n">
        <x:v>0.05</x:v>
      </x:c>
      <x:c r="E39" s="11" t="n">
        <x:v>1</x:v>
      </x:c>
      <x:c r="F39" s="11" t="n">
        <x:v>20</x:v>
      </x:c>
      <x:c r="G39" s="11" t="n">
        <x:v>2</x:v>
      </x:c>
      <x:c r="H39" s="11" t="n">
        <x:v>40</x:v>
      </x:c>
      <x:c r="I39" s="13" t="n">
        <x:v>0.10405574034005527</x:v>
      </x:c>
      <x:c r="J39" s="13" t="n">
        <x:v>0.06243344420403314</x:v>
      </x:c>
      <x:c r="K39" s="13" t="n">
        <x:v>0.015982472736256505</x:v>
      </x:c>
      <x:c r="L39" s="13" t="n">
        <x:v>0.027590126883229</x:v>
      </x:c>
      <x:c r="M39" s="13" t="n">
        <x:v>7645.937477916945</x:v>
      </x:c>
      <x:c r="N39" s="13" t="n">
        <x:v>7645.858556149993</x:v>
      </x:c>
      <x:c r="O39" s="10" t="str">
        <x:v>completed</x:v>
      </x:c>
      <x:c r="P39" s="11" t="n">
        <x:v>5000</x:v>
      </x:c>
      <x:c r="Q39" s="11" t="n">
        <x:v>10000</x:v>
      </x:c>
      <x:c r="R39" s="11" t="n">
        <x:v>1</x:v>
      </x:c>
      <x:c r="S39" s="10" t="str">
        <x:v>r1</x:v>
      </x:c>
      <x:c r="T39" s="13" t="n">
        <x:v>1.01</x:v>
      </x:c>
      <x:c r="U39" s="13" t="n">
        <x:v>1.0824841260910034</x:v>
      </x:c>
      <x:c r="V39" s="13" t="n">
        <x:v>0.07248412609100341</x:v>
      </x:c>
      <x:c r="W39" s="13" t="str">
        <x:v>r2</x:v>
      </x:c>
      <x:c r="X39" s="13" t="n">
        <x:v>0.95</x:v>
      </x:c>
      <x:c r="Y39" s="13" t="n">
        <x:v>1.0004174709320068</x:v>
      </x:c>
      <x:c r="Z39" s="13" t="n">
        <x:v>0.05041747093200688</x:v>
      </x:c>
      <x:c r="AA39" s="10" t="str">
        <x:v>competition_three_method_inverse_20260822_063907_seed_20261001</x:v>
      </x:c>
    </x:row>
    <x:row r="40">
      <x:c r="A40" s="10" t="str">
        <x:v>Competition</x:v>
      </x:c>
      <x:c r="B40" s="11" t="n">
        <x:v>20261001</x:v>
      </x:c>
      <x:c r="C40" s="11" t="n">
        <x:v>8</x:v>
      </x:c>
      <x:c r="D40" s="12" t="n">
        <x:v>0.05</x:v>
      </x:c>
      <x:c r="E40" s="11" t="n">
        <x:v>1</x:v>
      </x:c>
      <x:c r="F40" s="11" t="n">
        <x:v>20</x:v>
      </x:c>
      <x:c r="G40" s="11" t="n">
        <x:v>2</x:v>
      </x:c>
      <x:c r="H40" s="11" t="n">
        <x:v>40</x:v>
      </x:c>
      <x:c r="I40" s="13" t="n">
        <x:v>0.055358052734969423</x:v>
      </x:c>
      <x:c r="J40" s="13" t="n">
        <x:v>0.03321483164098164</x:v>
      </x:c>
      <x:c r="K40" s="13" t="n">
        <x:v>0.006809003441211998</x:v>
      </x:c>
      <x:c r="L40" s="13" t="n">
        <x:v>0.021479673458351358</x:v>
      </x:c>
      <x:c r="M40" s="13" t="n">
        <x:v>8974.043352421839</x:v>
      </x:c>
      <x:c r="N40" s="13" t="n">
        <x:v>8973.843499587849</x:v>
      </x:c>
      <x:c r="O40" s="10" t="str">
        <x:v>completed</x:v>
      </x:c>
      <x:c r="P40" s="11" t="n">
        <x:v>5000</x:v>
      </x:c>
      <x:c r="Q40" s="11" t="n">
        <x:v>10000</x:v>
      </x:c>
      <x:c r="R40" s="11" t="n">
        <x:v>1</x:v>
      </x:c>
      <x:c r="S40" s="10" t="str">
        <x:v>r1</x:v>
      </x:c>
      <x:c r="T40" s="13" t="n">
        <x:v>1.25</x:v>
      </x:c>
      <x:c r="U40" s="13" t="n">
        <x:v>1.2912100553512573</x:v>
      </x:c>
      <x:c r="V40" s="13" t="n">
        <x:v>0.041210055351257324</x:v>
      </x:c>
      <x:c r="W40" s="13" t="str">
        <x:v>r2</x:v>
      </x:c>
      <x:c r="X40" s="13" t="n">
        <x:v>0.89</x:v>
      </x:c>
      <x:c r="Y40" s="13" t="n">
        <x:v>0.9125428795814514</x:v>
      </x:c>
      <x:c r="Z40" s="13" t="n">
        <x:v>0.022542879581451403</x:v>
      </x:c>
      <x:c r="AA40" s="10" t="str">
        <x:v>competition_three_method_inverse_20260822_063907_seed_20261001</x:v>
      </x:c>
    </x:row>
    <x:row r="41">
      <x:c r="A41" s="10" t="str">
        <x:v>Competition</x:v>
      </x:c>
      <x:c r="B41" s="11" t="n">
        <x:v>20261001</x:v>
      </x:c>
      <x:c r="C41" s="11" t="n">
        <x:v>9</x:v>
      </x:c>
      <x:c r="D41" s="12" t="n">
        <x:v>0.05</x:v>
      </x:c>
      <x:c r="E41" s="11" t="n">
        <x:v>1</x:v>
      </x:c>
      <x:c r="F41" s="11" t="n">
        <x:v>20</x:v>
      </x:c>
      <x:c r="G41" s="11" t="n">
        <x:v>2</x:v>
      </x:c>
      <x:c r="H41" s="11" t="n">
        <x:v>40</x:v>
      </x:c>
      <x:c r="I41" s="13" t="n">
        <x:v>0.09359708636225077</x:v>
      </x:c>
      <x:c r="J41" s="13" t="n">
        <x:v>0.05615825181735045</x:v>
      </x:c>
      <x:c r="K41" s="13" t="n">
        <x:v>0.01210856015364819</x:v>
      </x:c>
      <x:c r="L41" s="13" t="n">
        <x:v>0.02409777737260859</x:v>
      </x:c>
      <x:c r="M41" s="13" t="n">
        <x:v>13365.919941511936</x:v>
      </x:c>
      <x:c r="N41" s="13" t="n">
        <x:v>13365.719841753133</x:v>
      </x:c>
      <x:c r="O41" s="10" t="str">
        <x:v>completed</x:v>
      </x:c>
      <x:c r="P41" s="11" t="n">
        <x:v>5000</x:v>
      </x:c>
      <x:c r="Q41" s="11" t="n">
        <x:v>10000</x:v>
      </x:c>
      <x:c r="R41" s="11" t="n">
        <x:v>0</x:v>
      </x:c>
      <x:c r="S41" s="10" t="str">
        <x:v>r1</x:v>
      </x:c>
      <x:c r="T41" s="13" t="n">
        <x:v>1.3699999999999999</x:v>
      </x:c>
      <x:c r="U41" s="13" t="n">
        <x:v>1.381638765335083</x:v>
      </x:c>
      <x:c r="V41" s="13" t="n">
        <x:v>0.011638765335083123</x:v>
      </x:c>
      <x:c r="W41" s="13" t="str">
        <x:v>r2</x:v>
      </x:c>
      <x:c r="X41" s="13" t="n">
        <x:v>1.19</x:v>
      </x:c>
      <x:c r="Y41" s="13" t="n">
        <x:v>1.2685623168945312</x:v>
      </x:c>
      <x:c r="Z41" s="13" t="n">
        <x:v>0.0785623168945313</x:v>
      </x:c>
      <x:c r="AA41" s="10" t="str">
        <x:v>competition_three_method_inverse_20260822_063907_seed_20261001</x:v>
      </x:c>
    </x:row>
    <x:row r="42">
      <x:c r="A42" s="10" t="str">
        <x:v>Delayed SEI</x:v>
      </x:c>
      <x:c r="B42" s="11" t="n">
        <x:v>20260901</x:v>
      </x:c>
      <x:c r="C42" s="11" t="n">
        <x:v>0</x:v>
      </x:c>
      <x:c r="D42" s="12" t="n">
        <x:v>0.005</x:v>
      </x:c>
      <x:c r="E42" s="11" t="n">
        <x:v>1</x:v>
      </x:c>
      <x:c r="F42" s="11" t="n">
        <x:v>20</x:v>
      </x:c>
      <x:c r="G42" s="11" t="n">
        <x:v>3</x:v>
      </x:c>
      <x:c r="H42" s="11" t="n">
        <x:v>60</x:v>
      </x:c>
      <x:c r="I42" s="13" t="n">
        <x:v>0.3608664073303147</x:v>
      </x:c>
      <x:c r="J42" s="13" t="n">
        <x:v>0.1461693150652357</x:v>
      </x:c>
      <x:c r="K42" s="13" t="n">
        <x:v>0.06806537404147864</x:v>
      </x:c>
      <x:c r="L42" s="13" t="n">
        <x:v>0.004644351126872299</x:v>
      </x:c>
      <x:c r="M42" s="13" t="n">
        <x:v>4587.529210258275</x:v>
      </x:c>
      <x:c r="N42" s="13" t="n">
        <x:v>4586.204523744993</x:v>
      </x:c>
      <x:c r="O42" s="10" t="str">
        <x:v>completed</x:v>
      </x:c>
      <x:c r="P42" s="11" t="n">
        <x:v>5000</x:v>
      </x:c>
      <x:c r="Q42" s="11" t="n">
        <x:v>10000</x:v>
      </x:c>
      <x:c r="R42" s="11" t="n">
        <x:v>3</x:v>
      </x:c>
      <x:c r="S42" s="10" t="str">
        <x:v>convexity a</x:v>
      </x:c>
      <x:c r="T42" s="13" t="n">
        <x:v>1.475</x:v>
      </x:c>
      <x:c r="U42" s="13" t="n">
        <x:v>1.5087661743164062</x:v>
      </x:c>
      <x:c r="V42" s="13" t="n">
        <x:v>0.03376617431640616</x:v>
      </x:c>
      <x:c r="W42" s="13" t="str">
        <x:v>transmission b</x:v>
      </x:c>
      <x:c r="X42" s="13" t="n">
        <x:v>0.43999999999999995</x:v>
      </x:c>
      <x:c r="Y42" s="13" t="n">
        <x:v>0.6439381837844849</x:v>
      </x:c>
      <x:c r="Z42" s="13" t="n">
        <x:v>0.20393818378448492</x:v>
      </x:c>
      <x:c r="AA42" s="10" t="str">
        <x:v>delayed_sei_three_method_inverse_20260822_140536_seed_20260901</x:v>
      </x:c>
    </x:row>
    <x:row r="43">
      <x:c r="A43" s="10" t="str">
        <x:v>Delayed SEI</x:v>
      </x:c>
      <x:c r="B43" s="11" t="n">
        <x:v>20260901</x:v>
      </x:c>
      <x:c r="C43" s="11" t="n">
        <x:v>1</x:v>
      </x:c>
      <x:c r="D43" s="12" t="n">
        <x:v>0.005</x:v>
      </x:c>
      <x:c r="E43" s="11" t="n">
        <x:v>1</x:v>
      </x:c>
      <x:c r="F43" s="11" t="n">
        <x:v>20</x:v>
      </x:c>
      <x:c r="G43" s="11" t="n">
        <x:v>3</x:v>
      </x:c>
      <x:c r="H43" s="11" t="n">
        <x:v>60</x:v>
      </x:c>
      <x:c r="I43" s="13" t="n">
        <x:v>0.7410885098603875</x:v>
      </x:c>
      <x:c r="J43" s="13" t="n">
        <x:v>0.6240749142478486</x:v>
      </x:c>
      <x:c r="K43" s="13" t="n">
        <x:v>0.06087555758712921</x:v>
      </x:c>
      <x:c r="L43" s="13" t="n">
        <x:v>0.004373055773218039</x:v>
      </x:c>
      <x:c r="M43" s="13" t="n">
        <x:v>1491.6836066949181</x:v>
      </x:c>
      <x:c r="N43" s="13" t="n">
        <x:v>1490.1128045814112</x:v>
      </x:c>
      <x:c r="O43" s="10" t="str">
        <x:v>completed</x:v>
      </x:c>
      <x:c r="P43" s="11" t="n">
        <x:v>5000</x:v>
      </x:c>
      <x:c r="Q43" s="11" t="n">
        <x:v>10000</x:v>
      </x:c>
      <x:c r="R43" s="11" t="n">
        <x:v>3</x:v>
      </x:c>
      <x:c r="S43" s="10" t="str">
        <x:v>convexity a</x:v>
      </x:c>
      <x:c r="T43" s="13" t="n">
        <x:v>1.9249999999999998</x:v>
      </x:c>
      <x:c r="U43" s="13" t="n">
        <x:v>1.1191660165786743</x:v>
      </x:c>
      <x:c r="V43" s="13" t="n">
        <x:v>0.8058339834213255</x:v>
      </x:c>
      <x:c r="W43" s="13" t="str">
        <x:v>transmission b</x:v>
      </x:c>
      <x:c r="X43" s="13" t="n">
        <x:v>0.6799999999999999</x:v>
      </x:c>
      <x:c r="Y43" s="13" t="n">
        <x:v>0.32004085183143616</x:v>
      </x:c>
      <x:c r="Z43" s="13" t="n">
        <x:v>0.3599591481685638</x:v>
      </x:c>
      <x:c r="AA43" s="10" t="str">
        <x:v>delayed_sei_three_method_inverse_20260822_140536_seed_20260901</x:v>
      </x:c>
    </x:row>
    <x:row r="44">
      <x:c r="A44" s="10" t="str">
        <x:v>Delayed SEI</x:v>
      </x:c>
      <x:c r="B44" s="11" t="n">
        <x:v>20260901</x:v>
      </x:c>
      <x:c r="C44" s="11" t="n">
        <x:v>2</x:v>
      </x:c>
      <x:c r="D44" s="12" t="n">
        <x:v>0.005</x:v>
      </x:c>
      <x:c r="E44" s="11" t="n">
        <x:v>1</x:v>
      </x:c>
      <x:c r="F44" s="11" t="n">
        <x:v>20</x:v>
      </x:c>
      <x:c r="G44" s="11" t="n">
        <x:v>3</x:v>
      </x:c>
      <x:c r="H44" s="11" t="n">
        <x:v>60</x:v>
      </x:c>
      <x:c r="I44" s="13" t="n">
        <x:v>0.5931411012149468</x:v>
      </x:c>
      <x:c r="J44" s="13" t="n">
        <x:v>0.8706692849430233</x:v>
      </x:c>
      <x:c r="K44" s="13" t="n">
        <x:v>0.017623834357891624</x:v>
      </x:c>
      <x:c r="L44" s="13" t="n">
        <x:v>0.0036369275491064954</x:v>
      </x:c>
      <x:c r="M44" s="13" t="n">
        <x:v>2032.524228297174</x:v>
      </x:c>
      <x:c r="N44" s="13" t="n">
        <x:v>2032.2204229598865</x:v>
      </x:c>
      <x:c r="O44" s="10" t="str">
        <x:v>completed</x:v>
      </x:c>
      <x:c r="P44" s="11" t="n">
        <x:v>5000</x:v>
      </x:c>
      <x:c r="Q44" s="11" t="n">
        <x:v>10000</x:v>
      </x:c>
      <x:c r="R44" s="11" t="n">
        <x:v>4</x:v>
      </x:c>
      <x:c r="S44" s="10" t="str">
        <x:v>convexity a</x:v>
      </x:c>
      <x:c r="T44" s="13" t="n">
        <x:v>0.725</x:v>
      </x:c>
      <x:c r="U44" s="13" t="n">
        <x:v>1.9542263746261597</x:v>
      </x:c>
      <x:c r="V44" s="13" t="n">
        <x:v>1.2292263746261596</x:v>
      </x:c>
      <x:c r="W44" s="13" t="str">
        <x:v>transmission b</x:v>
      </x:c>
      <x:c r="X44" s="13" t="n">
        <x:v>0.6</x:v>
      </x:c>
      <x:c r="Y44" s="13" t="n">
        <x:v>0.5283583402633667</x:v>
      </x:c>
      <x:c r="Z44" s="13" t="n">
        <x:v>0.07164165973663328</x:v>
      </x:c>
      <x:c r="AA44" s="10" t="str">
        <x:v>delayed_sei_three_method_inverse_20260822_140536_seed_20260901</x:v>
      </x:c>
    </x:row>
    <x:row r="45">
      <x:c r="A45" s="10" t="str">
        <x:v>Delayed SEI</x:v>
      </x:c>
      <x:c r="B45" s="11" t="n">
        <x:v>20260901</x:v>
      </x:c>
      <x:c r="C45" s="11" t="n">
        <x:v>3</x:v>
      </x:c>
      <x:c r="D45" s="12" t="n">
        <x:v>0.005</x:v>
      </x:c>
      <x:c r="E45" s="11" t="n">
        <x:v>1</x:v>
      </x:c>
      <x:c r="F45" s="11" t="n">
        <x:v>20</x:v>
      </x:c>
      <x:c r="G45" s="11" t="n">
        <x:v>3</x:v>
      </x:c>
      <x:c r="H45" s="11" t="n">
        <x:v>60</x:v>
      </x:c>
      <x:c r="I45" s="13" t="n">
        <x:v>0.23527377424657764</x:v>
      </x:c>
      <x:c r="J45" s="13" t="n">
        <x:v>0.32309112906758297</x:v>
      </x:c>
      <x:c r="K45" s="13" t="n">
        <x:v>0.006609180625160131</x:v>
      </x:c>
      <x:c r="L45" s="13" t="n">
        <x:v>0.00410541300677782</x:v>
      </x:c>
      <x:c r="M45" s="13" t="n">
        <x:v>2751.9165772069246</x:v>
      </x:c>
      <x:c r="N45" s="13" t="n">
        <x:v>2751.5949971438386</x:v>
      </x:c>
      <x:c r="O45" s="10" t="str">
        <x:v>completed</x:v>
      </x:c>
      <x:c r="P45" s="11" t="n">
        <x:v>5000</x:v>
      </x:c>
      <x:c r="Q45" s="11" t="n">
        <x:v>10000</x:v>
      </x:c>
      <x:c r="R45" s="11" t="n">
        <x:v>1</x:v>
      </x:c>
      <x:c r="S45" s="10" t="str">
        <x:v>convexity a</x:v>
      </x:c>
      <x:c r="T45" s="13" t="n">
        <x:v>1.175</x:v>
      </x:c>
      <x:c r="U45" s="13" t="n">
        <x:v>0.7214701175689697</x:v>
      </x:c>
      <x:c r="V45" s="13" t="n">
        <x:v>0.4535298824310303</x:v>
      </x:c>
      <x:c r="W45" s="13" t="str">
        <x:v>transmission b</x:v>
      </x:c>
      <x:c r="X45" s="13" t="n">
        <x:v>0.36</x:v>
      </x:c>
      <x:c r="Y45" s="13" t="n">
        <x:v>0.4155553877353668</x:v>
      </x:c>
      <x:c r="Z45" s="13" t="n">
        <x:v>0.055555387735366835</x:v>
      </x:c>
      <x:c r="AA45" s="10" t="str">
        <x:v>delayed_sei_three_method_inverse_20260822_140536_seed_20260901</x:v>
      </x:c>
    </x:row>
    <x:row r="46">
      <x:c r="A46" s="10" t="str">
        <x:v>Delayed SEI</x:v>
      </x:c>
      <x:c r="B46" s="11" t="n">
        <x:v>20260901</x:v>
      </x:c>
      <x:c r="C46" s="11" t="n">
        <x:v>4</x:v>
      </x:c>
      <x:c r="D46" s="12" t="n">
        <x:v>0.005</x:v>
      </x:c>
      <x:c r="E46" s="11" t="n">
        <x:v>1</x:v>
      </x:c>
      <x:c r="F46" s="11" t="n">
        <x:v>20</x:v>
      </x:c>
      <x:c r="G46" s="11" t="n">
        <x:v>3</x:v>
      </x:c>
      <x:c r="H46" s="11" t="n">
        <x:v>60</x:v>
      </x:c>
      <x:c r="I46" s="13" t="n">
        <x:v>0.3113969937633941</x:v>
      </x:c>
      <x:c r="J46" s="13" t="n">
        <x:v>0.3720843007092928</x:v>
      </x:c>
      <x:c r="K46" s="13" t="n">
        <x:v>0.03346557495867222</x:v>
      </x:c>
      <x:c r="L46" s="13" t="n">
        <x:v>0.004243710231387449</x:v>
      </x:c>
      <x:c r="M46" s="13" t="n">
        <x:v>2830.472232701257</x:v>
      </x:c>
      <x:c r="N46" s="13" t="n">
        <x:v>2830.252037280239</x:v>
      </x:c>
      <x:c r="O46" s="10" t="str">
        <x:v>completed</x:v>
      </x:c>
      <x:c r="P46" s="11" t="n">
        <x:v>5000</x:v>
      </x:c>
      <x:c r="Q46" s="11" t="n">
        <x:v>10000</x:v>
      </x:c>
      <x:c r="R46" s="11" t="n">
        <x:v>1</x:v>
      </x:c>
      <x:c r="S46" s="10" t="str">
        <x:v>convexity a</x:v>
      </x:c>
      <x:c r="T46" s="13" t="n">
        <x:v>1.775</x:v>
      </x:c>
      <x:c r="U46" s="13" t="n">
        <x:v>1.260523796081543</x:v>
      </x:c>
      <x:c r="V46" s="13" t="n">
        <x:v>0.5144762039184569</x:v>
      </x:c>
      <x:c r="W46" s="13" t="str">
        <x:v>transmission b</x:v>
      </x:c>
      <x:c r="X46" s="13" t="n">
        <x:v>0.56</x:v>
      </x:c>
      <x:c r="Y46" s="13" t="n">
        <x:v>0.4495115876197815</x:v>
      </x:c>
      <x:c r="Z46" s="13" t="n">
        <x:v>0.11048841238021856</x:v>
      </x:c>
      <x:c r="AA46" s="10" t="str">
        <x:v>delayed_sei_three_method_inverse_20260822_140536_seed_20260901</x:v>
      </x:c>
    </x:row>
    <x:row r="47">
      <x:c r="A47" s="10" t="str">
        <x:v>Delayed SEI</x:v>
      </x:c>
      <x:c r="B47" s="11" t="n">
        <x:v>20260901</x:v>
      </x:c>
      <x:c r="C47" s="11" t="n">
        <x:v>5</x:v>
      </x:c>
      <x:c r="D47" s="12" t="n">
        <x:v>0.005</x:v>
      </x:c>
      <x:c r="E47" s="11" t="n">
        <x:v>1</x:v>
      </x:c>
      <x:c r="F47" s="11" t="n">
        <x:v>20</x:v>
      </x:c>
      <x:c r="G47" s="11" t="n">
        <x:v>3</x:v>
      </x:c>
      <x:c r="H47" s="11" t="n">
        <x:v>60</x:v>
      </x:c>
      <x:c r="I47" s="13" t="n">
        <x:v>0.5863639917100936</x:v>
      </x:c>
      <x:c r="J47" s="13" t="n">
        <x:v>0.81978136029814</x:v>
      </x:c>
      <x:c r="K47" s="13" t="n">
        <x:v>0.029122404471403317</x:v>
      </x:c>
      <x:c r="L47" s="13" t="n">
        <x:v>0.004629145605715865</x:v>
      </x:c>
      <x:c r="M47" s="13" t="n">
        <x:v>3513.1488344031386</x:v>
      </x:c>
      <x:c r="N47" s="13" t="n">
        <x:v>3512.9554502009414</x:v>
      </x:c>
      <x:c r="O47" s="10" t="str">
        <x:v>completed</x:v>
      </x:c>
      <x:c r="P47" s="11" t="n">
        <x:v>5000</x:v>
      </x:c>
      <x:c r="Q47" s="11" t="n">
        <x:v>10000</x:v>
      </x:c>
      <x:c r="R47" s="11" t="n">
        <x:v>3</x:v>
      </x:c>
      <x:c r="S47" s="10" t="str">
        <x:v>convexity a</x:v>
      </x:c>
      <x:c r="T47" s="13" t="n">
        <x:v>0.575</x:v>
      </x:c>
      <x:c r="U47" s="13" t="n">
        <x:v>1.7276201248168945</x:v>
      </x:c>
      <x:c r="V47" s="13" t="n">
        <x:v>1.1526201248168946</x:v>
      </x:c>
      <x:c r="W47" s="13" t="str">
        <x:v>transmission b</x:v>
      </x:c>
      <x:c r="X47" s="13" t="n">
        <x:v>0.52</x:v>
      </x:c>
      <x:c r="Y47" s="13" t="n">
        <x:v>0.6446988582611084</x:v>
      </x:c>
      <x:c r="Z47" s="13" t="n">
        <x:v>0.12469885826110838</x:v>
      </x:c>
      <x:c r="AA47" s="10" t="str">
        <x:v>delayed_sei_three_method_inverse_20260822_140536_seed_20260901</x:v>
      </x:c>
    </x:row>
    <x:row r="48">
      <x:c r="A48" s="10" t="str">
        <x:v>Delayed SEI</x:v>
      </x:c>
      <x:c r="B48" s="11" t="n">
        <x:v>20260901</x:v>
      </x:c>
      <x:c r="C48" s="11" t="n">
        <x:v>6</x:v>
      </x:c>
      <x:c r="D48" s="12" t="n">
        <x:v>0.005</x:v>
      </x:c>
      <x:c r="E48" s="11" t="n">
        <x:v>1</x:v>
      </x:c>
      <x:c r="F48" s="11" t="n">
        <x:v>20</x:v>
      </x:c>
      <x:c r="G48" s="11" t="n">
        <x:v>3</x:v>
      </x:c>
      <x:c r="H48" s="11" t="n">
        <x:v>60</x:v>
      </x:c>
      <x:c r="I48" s="13" t="n">
        <x:v>0.20437334894036013</x:v>
      </x:c>
      <x:c r="J48" s="13" t="n">
        <x:v>0.08179276177447622</x:v>
      </x:c>
      <x:c r="K48" s="13" t="n">
        <x:v>0.021845526502986736</x:v>
      </x:c>
      <x:c r="L48" s="13" t="n">
        <x:v>0.0034843017547135646</x:v>
      </x:c>
      <x:c r="M48" s="13" t="n">
        <x:v>3489.0504315891303</x:v>
      </x:c>
      <x:c r="N48" s="13" t="n">
        <x:v>3488.692158782389</x:v>
      </x:c>
      <x:c r="O48" s="10" t="str">
        <x:v>completed</x:v>
      </x:c>
      <x:c r="P48" s="11" t="n">
        <x:v>5000</x:v>
      </x:c>
      <x:c r="Q48" s="11" t="n">
        <x:v>10000</x:v>
      </x:c>
      <x:c r="R48" s="11" t="n">
        <x:v>1</x:v>
      </x:c>
      <x:c r="S48" s="10" t="str">
        <x:v>convexity a</x:v>
      </x:c>
      <x:c r="T48" s="13" t="n">
        <x:v>0.875</x:v>
      </x:c>
      <x:c r="U48" s="13" t="n">
        <x:v>0.8710897564888</x:v>
      </x:c>
      <x:c r="V48" s="13" t="n">
        <x:v>0.003910243511199951</x:v>
      </x:c>
      <x:c r="W48" s="13" t="str">
        <x:v>transmission b</x:v>
      </x:c>
      <x:c r="X48" s="13" t="n">
        <x:v>0.6399999999999999</x:v>
      </x:c>
      <x:c r="Y48" s="13" t="n">
        <x:v>0.5243936777114868</x:v>
      </x:c>
      <x:c r="Z48" s="13" t="n">
        <x:v>0.11560632228851309</x:v>
      </x:c>
      <x:c r="AA48" s="10" t="str">
        <x:v>delayed_sei_three_method_inverse_20260822_140536_seed_20260901</x:v>
      </x:c>
    </x:row>
    <x:row r="49">
      <x:c r="A49" s="10" t="str">
        <x:v>Delayed SEI</x:v>
      </x:c>
      <x:c r="B49" s="11" t="n">
        <x:v>20260901</x:v>
      </x:c>
      <x:c r="C49" s="11" t="n">
        <x:v>7</x:v>
      </x:c>
      <x:c r="D49" s="12" t="n">
        <x:v>0.005</x:v>
      </x:c>
      <x:c r="E49" s="11" t="n">
        <x:v>1</x:v>
      </x:c>
      <x:c r="F49" s="11" t="n">
        <x:v>20</x:v>
      </x:c>
      <x:c r="G49" s="11" t="n">
        <x:v>3</x:v>
      </x:c>
      <x:c r="H49" s="11" t="n">
        <x:v>60</x:v>
      </x:c>
      <x:c r="I49" s="13" t="n">
        <x:v>0.5377985353525592</x:v>
      </x:c>
      <x:c r="J49" s="13" t="n">
        <x:v>0.7340083391950496</x:v>
      </x:c>
      <x:c r="K49" s="13" t="n">
        <x:v>0.03607760979373381</x:v>
      </x:c>
      <x:c r="L49" s="13" t="n">
        <x:v>0.004074485291962915</x:v>
      </x:c>
      <x:c r="M49" s="13" t="n">
        <x:v>1779.3781408029608</x:v>
      </x:c>
      <x:c r="N49" s="13" t="n">
        <x:v>1779.1318353526294</x:v>
      </x:c>
      <x:c r="O49" s="10" t="str">
        <x:v>completed</x:v>
      </x:c>
      <x:c r="P49" s="11" t="n">
        <x:v>5000</x:v>
      </x:c>
      <x:c r="Q49" s="11" t="n">
        <x:v>10000</x:v>
      </x:c>
      <x:c r="R49" s="11" t="n">
        <x:v>3</x:v>
      </x:c>
      <x:c r="S49" s="10" t="str">
        <x:v>convexity a</x:v>
      </x:c>
      <x:c r="T49" s="13" t="n">
        <x:v>1.625</x:v>
      </x:c>
      <x:c r="U49" s="13" t="n">
        <x:v>0.5952479839324951</x:v>
      </x:c>
      <x:c r="V49" s="13" t="n">
        <x:v>1.0297520160675049</x:v>
      </x:c>
      <x:c r="W49" s="13" t="str">
        <x:v>transmission b</x:v>
      </x:c>
      <x:c r="X49" s="13" t="n">
        <x:v>0.32</x:v>
      </x:c>
      <x:c r="Y49" s="13" t="n">
        <x:v>0.4509475827217102</x:v>
      </x:c>
      <x:c r="Z49" s="13" t="n">
        <x:v>0.1309475827217102</x:v>
      </x:c>
      <x:c r="AA49" s="10" t="str">
        <x:v>delayed_sei_three_method_inverse_20260822_140536_seed_20260901</x:v>
      </x:c>
    </x:row>
    <x:row r="50">
      <x:c r="A50" s="10" t="str">
        <x:v>Delayed SEI</x:v>
      </x:c>
      <x:c r="B50" s="11" t="n">
        <x:v>20260901</x:v>
      </x:c>
      <x:c r="C50" s="11" t="n">
        <x:v>8</x:v>
      </x:c>
      <x:c r="D50" s="12" t="n">
        <x:v>0.005</x:v>
      </x:c>
      <x:c r="E50" s="11" t="n">
        <x:v>1</x:v>
      </x:c>
      <x:c r="F50" s="11" t="n">
        <x:v>20</x:v>
      </x:c>
      <x:c r="G50" s="11" t="n">
        <x:v>3</x:v>
      </x:c>
      <x:c r="H50" s="11" t="n">
        <x:v>60</x:v>
      </x:c>
      <x:c r="I50" s="13" t="n">
        <x:v>0.3868827957560522</x:v>
      </x:c>
      <x:c r="J50" s="13" t="n">
        <x:v>0.21456434177698866</x:v>
      </x:c>
      <x:c r="K50" s="13" t="n">
        <x:v>0.04426144773656373</x:v>
      </x:c>
      <x:c r="L50" s="13" t="n">
        <x:v>0.005925321818734761</x:v>
      </x:c>
      <x:c r="M50" s="13" t="n">
        <x:v>3211.0906674191356</x:v>
      </x:c>
      <x:c r="N50" s="13" t="n">
        <x:v>3210.660199432168</x:v>
      </x:c>
      <x:c r="O50" s="10" t="str">
        <x:v>completed</x:v>
      </x:c>
      <x:c r="P50" s="11" t="n">
        <x:v>5000</x:v>
      </x:c>
      <x:c r="Q50" s="11" t="n">
        <x:v>10000</x:v>
      </x:c>
      <x:c r="R50" s="11" t="n">
        <x:v>3</x:v>
      </x:c>
      <x:c r="S50" s="10" t="str">
        <x:v>convexity a</x:v>
      </x:c>
      <x:c r="T50" s="13" t="n">
        <x:v>1.3250000000000002</x:v>
      </x:c>
      <x:c r="U50" s="13" t="n">
        <x:v>1.1069157123565674</x:v>
      </x:c>
      <x:c r="V50" s="13" t="n">
        <x:v>0.2180842876434328</x:v>
      </x:c>
      <x:c r="W50" s="13" t="str">
        <x:v>transmission b</x:v>
      </x:c>
      <x:c r="X50" s="13" t="n">
        <x:v>0.48</x:v>
      </x:c>
      <x:c r="Y50" s="13" t="n">
        <x:v>0.6909856796264648</x:v>
      </x:c>
      <x:c r="Z50" s="13" t="n">
        <x:v>0.21098567962646486</x:v>
      </x:c>
      <x:c r="AA50" s="10" t="str">
        <x:v>delayed_sei_three_method_inverse_20260822_140536_seed_20260901</x:v>
      </x:c>
    </x:row>
    <x:row r="51">
      <x:c r="A51" s="10" t="str">
        <x:v>Delayed SEI</x:v>
      </x:c>
      <x:c r="B51" s="11" t="n">
        <x:v>20260901</x:v>
      </x:c>
      <x:c r="C51" s="11" t="n">
        <x:v>9</x:v>
      </x:c>
      <x:c r="D51" s="12" t="n">
        <x:v>0.005</x:v>
      </x:c>
      <x:c r="E51" s="11" t="n">
        <x:v>1</x:v>
      </x:c>
      <x:c r="F51" s="11" t="n">
        <x:v>20</x:v>
      </x:c>
      <x:c r="G51" s="11" t="n">
        <x:v>3</x:v>
      </x:c>
      <x:c r="H51" s="11" t="n">
        <x:v>60</x:v>
      </x:c>
      <x:c r="I51" s="13" t="n">
        <x:v>0.53035417030803</x:v>
      </x:c>
      <x:c r="J51" s="13" t="n">
        <x:v>0.4511878929949572</x:v>
      </x:c>
      <x:c r="K51" s="13" t="n">
        <x:v>0.051525452791899115</x:v>
      </x:c>
      <x:c r="L51" s="13" t="n">
        <x:v>0.003640095821890488</x:v>
      </x:c>
      <x:c r="M51" s="13" t="n">
        <x:v>3760.9857271909714</x:v>
      </x:c>
      <x:c r="N51" s="13" t="n">
        <x:v>3760.6681153276004</x:v>
      </x:c>
      <x:c r="O51" s="10" t="str">
        <x:v>completed</x:v>
      </x:c>
      <x:c r="P51" s="11" t="n">
        <x:v>5000</x:v>
      </x:c>
      <x:c r="Q51" s="11" t="n">
        <x:v>10000</x:v>
      </x:c>
      <x:c r="R51" s="11" t="n">
        <x:v>2</x:v>
      </x:c>
      <x:c r="S51" s="10" t="str">
        <x:v>convexity a</x:v>
      </x:c>
      <x:c r="T51" s="13" t="n">
        <x:v>1.025</x:v>
      </x:c>
      <x:c r="U51" s="13" t="n">
        <x:v>1.6093038320541382</x:v>
      </x:c>
      <x:c r="V51" s="13" t="n">
        <x:v>0.5843038320541383</x:v>
      </x:c>
      <x:c r="W51" s="13" t="str">
        <x:v>transmission b</x:v>
      </x:c>
      <x:c r="X51" s="13" t="n">
        <x:v>0.39999999999999997</x:v>
      </x:c>
      <x:c r="Y51" s="13" t="n">
        <x:v>0.6563787460327148</x:v>
      </x:c>
      <x:c r="Z51" s="13" t="n">
        <x:v>0.2563787460327149</x:v>
      </x:c>
      <x:c r="AA51" s="10" t="str">
        <x:v>delayed_sei_three_method_inverse_20260822_140536_seed_20260901</x:v>
      </x:c>
    </x:row>
    <x:row r="52">
      <x:c r="A52" s="10" t="str">
        <x:v>Delayed SEI</x:v>
      </x:c>
      <x:c r="B52" s="11" t="n">
        <x:v>20260901</x:v>
      </x:c>
      <x:c r="C52" s="11" t="n">
        <x:v>0</x:v>
      </x:c>
      <x:c r="D52" s="12" t="n">
        <x:v>0.01</x:v>
      </x:c>
      <x:c r="E52" s="11" t="n">
        <x:v>1</x:v>
      </x:c>
      <x:c r="F52" s="11" t="n">
        <x:v>20</x:v>
      </x:c>
      <x:c r="G52" s="11" t="n">
        <x:v>3</x:v>
      </x:c>
      <x:c r="H52" s="11" t="n">
        <x:v>60</x:v>
      </x:c>
      <x:c r="I52" s="13" t="n">
        <x:v>0.3732990908809936</x:v>
      </x:c>
      <x:c r="J52" s="13" t="n">
        <x:v>0.15175221840738062</x:v>
      </x:c>
      <x:c r="K52" s="13" t="n">
        <x:v>0.07072039780956282</x:v>
      </x:c>
      <x:c r="L52" s="13" t="n">
        <x:v>0.011729514956426053</x:v>
      </x:c>
      <x:c r="M52" s="13" t="n">
        <x:v>2526.661742625758</x:v>
      </x:c>
      <x:c r="N52" s="13" t="n">
        <x:v>2526.4147405889817</x:v>
      </x:c>
      <x:c r="O52" s="10" t="str">
        <x:v>completed</x:v>
      </x:c>
      <x:c r="P52" s="11" t="n">
        <x:v>5000</x:v>
      </x:c>
      <x:c r="Q52" s="11" t="n">
        <x:v>10000</x:v>
      </x:c>
      <x:c r="R52" s="11" t="n">
        <x:v>3</x:v>
      </x:c>
      <x:c r="S52" s="10" t="str">
        <x:v>convexity a</x:v>
      </x:c>
      <x:c r="T52" s="13" t="n">
        <x:v>1.475</x:v>
      </x:c>
      <x:c r="U52" s="13" t="n">
        <x:v>1.5147101879119873</x:v>
      </x:c>
      <x:c r="V52" s="13" t="n">
        <x:v>0.039710187911987216</x:v>
      </x:c>
      <x:c r="W52" s="13" t="str">
        <x:v>transmission b</x:v>
      </x:c>
      <x:c r="X52" s="13" t="n">
        <x:v>0.43999999999999995</x:v>
      </x:c>
      <x:c r="Y52" s="13" t="n">
        <x:v>0.6509041786193848</x:v>
      </x:c>
      <x:c r="Z52" s="13" t="n">
        <x:v>0.21090417861938482</x:v>
      </x:c>
      <x:c r="AA52" s="10" t="str">
        <x:v>delayed_sei_three_method_inverse_20260822_140536_seed_20260901</x:v>
      </x:c>
    </x:row>
    <x:row r="53">
      <x:c r="A53" s="10" t="str">
        <x:v>Delayed SEI</x:v>
      </x:c>
      <x:c r="B53" s="11" t="n">
        <x:v>20260901</x:v>
      </x:c>
      <x:c r="C53" s="11" t="n">
        <x:v>1</x:v>
      </x:c>
      <x:c r="D53" s="12" t="n">
        <x:v>0.01</x:v>
      </x:c>
      <x:c r="E53" s="11" t="n">
        <x:v>1</x:v>
      </x:c>
      <x:c r="F53" s="11" t="n">
        <x:v>20</x:v>
      </x:c>
      <x:c r="G53" s="11" t="n">
        <x:v>3</x:v>
      </x:c>
      <x:c r="H53" s="11" t="n">
        <x:v>60</x:v>
      </x:c>
      <x:c r="I53" s="13" t="n">
        <x:v>0.1407665156306575</x:v>
      </x:c>
      <x:c r="J53" s="13" t="n">
        <x:v>0.20829904071073804</x:v>
      </x:c>
      <x:c r="K53" s="13" t="n">
        <x:v>0.0023590841429616868</x:v>
      </x:c>
      <x:c r="L53" s="13" t="n">
        <x:v>0.01026901507068592</x:v>
      </x:c>
      <x:c r="M53" s="13" t="n">
        <x:v>1225.746526883915</x:v>
      </x:c>
      <x:c r="N53" s="13" t="n">
        <x:v>1225.7105301450938</x:v>
      </x:c>
      <x:c r="O53" s="10" t="str">
        <x:v>completed</x:v>
      </x:c>
      <x:c r="P53" s="11" t="n">
        <x:v>5000</x:v>
      </x:c>
      <x:c r="Q53" s="11" t="n">
        <x:v>10000</x:v>
      </x:c>
      <x:c r="R53" s="11" t="n">
        <x:v>1</x:v>
      </x:c>
      <x:c r="S53" s="10" t="str">
        <x:v>convexity a</x:v>
      </x:c>
      <x:c r="T53" s="13" t="n">
        <x:v>1.9249999999999998</x:v>
      </x:c>
      <x:c r="U53" s="13" t="n">
        <x:v>1.6307315826416016</x:v>
      </x:c>
      <x:c r="V53" s="13" t="n">
        <x:v>0.29426841735839826</x:v>
      </x:c>
      <x:c r="W53" s="13" t="str">
        <x:v>transmission b</x:v>
      </x:c>
      <x:c r="X53" s="13" t="n">
        <x:v>0.6799999999999999</x:v>
      </x:c>
      <x:c r="Y53" s="13" t="n">
        <x:v>0.6935306787490845</x:v>
      </x:c>
      <x:c r="Z53" s="13" t="n">
        <x:v>0.013530678749084535</x:v>
      </x:c>
      <x:c r="AA53" s="10" t="str">
        <x:v>delayed_sei_three_method_inverse_20260822_140536_seed_20260901</x:v>
      </x:c>
    </x:row>
    <x:row r="54">
      <x:c r="A54" s="10" t="str">
        <x:v>Delayed SEI</x:v>
      </x:c>
      <x:c r="B54" s="11" t="n">
        <x:v>20260901</x:v>
      </x:c>
      <x:c r="C54" s="11" t="n">
        <x:v>2</x:v>
      </x:c>
      <x:c r="D54" s="12" t="n">
        <x:v>0.01</x:v>
      </x:c>
      <x:c r="E54" s="11" t="n">
        <x:v>1</x:v>
      </x:c>
      <x:c r="F54" s="11" t="n">
        <x:v>20</x:v>
      </x:c>
      <x:c r="G54" s="11" t="n">
        <x:v>3</x:v>
      </x:c>
      <x:c r="H54" s="11" t="n">
        <x:v>60</x:v>
      </x:c>
      <x:c r="I54" s="13" t="n">
        <x:v>0.40128530008990243</x:v>
      </x:c>
      <x:c r="J54" s="13" t="n">
        <x:v>0.16197488813031558</x:v>
      </x:c>
      <x:c r="K54" s="13" t="n">
        <x:v>0.05916735129340747</x:v>
      </x:c>
      <x:c r="L54" s="13" t="n">
        <x:v>0.006358162946817335</x:v>
      </x:c>
      <x:c r="M54" s="13" t="n">
        <x:v>1600.0929347719066</x:v>
      </x:c>
      <x:c r="N54" s="13" t="n">
        <x:v>1599.6792070567608</x:v>
      </x:c>
      <x:c r="O54" s="10" t="str">
        <x:v>completed</x:v>
      </x:c>
      <x:c r="P54" s="11" t="n">
        <x:v>5000</x:v>
      </x:c>
      <x:c r="Q54" s="11" t="n">
        <x:v>10000</x:v>
      </x:c>
      <x:c r="R54" s="11" t="n">
        <x:v>3</x:v>
      </x:c>
      <x:c r="S54" s="10" t="str">
        <x:v>convexity a</x:v>
      </x:c>
      <x:c r="T54" s="13" t="n">
        <x:v>0.725</x:v>
      </x:c>
      <x:c r="U54" s="13" t="n">
        <x:v>0.6931520700454712</x:v>
      </x:c>
      <x:c r="V54" s="13" t="n">
        <x:v>0.031847929954528786</x:v>
      </x:c>
      <x:c r="W54" s="13" t="str">
        <x:v>transmission b</x:v>
      </x:c>
      <x:c r="X54" s="13" t="n">
        <x:v>0.6</x:v>
      </x:c>
      <x:c r="Y54" s="13" t="n">
        <x:v>0.37315768003463745</x:v>
      </x:c>
      <x:c r="Z54" s="13" t="n">
        <x:v>0.22684231996536253</x:v>
      </x:c>
      <x:c r="AA54" s="10" t="str">
        <x:v>delayed_sei_three_method_inverse_20260822_140536_seed_20260901</x:v>
      </x:c>
    </x:row>
    <x:row r="55">
      <x:c r="A55" s="10" t="str">
        <x:v>Delayed SEI</x:v>
      </x:c>
      <x:c r="B55" s="11" t="n">
        <x:v>20260901</x:v>
      </x:c>
      <x:c r="C55" s="11" t="n">
        <x:v>3</x:v>
      </x:c>
      <x:c r="D55" s="12" t="n">
        <x:v>0.01</x:v>
      </x:c>
      <x:c r="E55" s="11" t="n">
        <x:v>1</x:v>
      </x:c>
      <x:c r="F55" s="11" t="n">
        <x:v>20</x:v>
      </x:c>
      <x:c r="G55" s="11" t="n">
        <x:v>3</x:v>
      </x:c>
      <x:c r="H55" s="11" t="n">
        <x:v>60</x:v>
      </x:c>
      <x:c r="I55" s="13" t="n">
        <x:v>0.5274181703815196</x:v>
      </x:c>
      <x:c r="J55" s="13" t="n">
        <x:v>0.5890762567270718</x:v>
      </x:c>
      <x:c r="K55" s="13" t="n">
        <x:v>0.029128026547995206</x:v>
      </x:c>
      <x:c r="L55" s="13" t="n">
        <x:v>0.012230545405684487</x:v>
      </x:c>
      <x:c r="M55" s="13" t="n">
        <x:v>4426.629837566055</x:v>
      </x:c>
      <x:c r="N55" s="13" t="n">
        <x:v>4426.231348698959</x:v>
      </x:c>
      <x:c r="O55" s="10" t="str">
        <x:v>completed</x:v>
      </x:c>
      <x:c r="P55" s="11" t="n">
        <x:v>5000</x:v>
      </x:c>
      <x:c r="Q55" s="11" t="n">
        <x:v>10000</x:v>
      </x:c>
      <x:c r="R55" s="11" t="n">
        <x:v>3</x:v>
      </x:c>
      <x:c r="S55" s="10" t="str">
        <x:v>convexity a</x:v>
      </x:c>
      <x:c r="T55" s="13" t="n">
        <x:v>1.175</x:v>
      </x:c>
      <x:c r="U55" s="13" t="n">
        <x:v>1.9820462465286255</x:v>
      </x:c>
      <x:c r="V55" s="13" t="n">
        <x:v>0.8070462465286254</x:v>
      </x:c>
      <x:c r="W55" s="13" t="str">
        <x:v>transmission b</x:v>
      </x:c>
      <x:c r="X55" s="13" t="n">
        <x:v>0.36</x:v>
      </x:c>
      <x:c r="Y55" s="13" t="n">
        <x:v>0.566635012626648</x:v>
      </x:c>
      <x:c r="Z55" s="13" t="n">
        <x:v>0.20663501262664796</x:v>
      </x:c>
      <x:c r="AA55" s="10" t="str">
        <x:v>delayed_sei_three_method_inverse_20260822_140536_seed_20260901</x:v>
      </x:c>
    </x:row>
    <x:row r="56">
      <x:c r="A56" s="10" t="str">
        <x:v>Delayed SEI</x:v>
      </x:c>
      <x:c r="B56" s="11" t="n">
        <x:v>20260901</x:v>
      </x:c>
      <x:c r="C56" s="11" t="n">
        <x:v>4</x:v>
      </x:c>
      <x:c r="D56" s="12" t="n">
        <x:v>0.01</x:v>
      </x:c>
      <x:c r="E56" s="11" t="n">
        <x:v>1</x:v>
      </x:c>
      <x:c r="F56" s="11" t="n">
        <x:v>20</x:v>
      </x:c>
      <x:c r="G56" s="11" t="n">
        <x:v>3</x:v>
      </x:c>
      <x:c r="H56" s="11" t="n">
        <x:v>60</x:v>
      </x:c>
      <x:c r="I56" s="13" t="n">
        <x:v>0.4119887767855679</x:v>
      </x:c>
      <x:c r="J56" s="13" t="n">
        <x:v>0.16636485931259995</x:v>
      </x:c>
      <x:c r="K56" s="13" t="n">
        <x:v>0.06280895189463144</x:v>
      </x:c>
      <x:c r="L56" s="13" t="n">
        <x:v>0.00839747262137975</x:v>
      </x:c>
      <x:c r="M56" s="13" t="n">
        <x:v>1297.050460852217</x:v>
      </x:c>
      <x:c r="N56" s="13" t="n">
        <x:v>1297.0333966049366</x:v>
      </x:c>
      <x:c r="O56" s="10" t="str">
        <x:v>completed</x:v>
      </x:c>
      <x:c r="P56" s="11" t="n">
        <x:v>5000</x:v>
      </x:c>
      <x:c r="Q56" s="11" t="n">
        <x:v>10000</x:v>
      </x:c>
      <x:c r="R56" s="11" t="n">
        <x:v>2</x:v>
      </x:c>
      <x:c r="S56" s="10" t="str">
        <x:v>convexity a</x:v>
      </x:c>
      <x:c r="T56" s="13" t="n">
        <x:v>1.775</x:v>
      </x:c>
      <x:c r="U56" s="13" t="n">
        <x:v>1.741548776626587</x:v>
      </x:c>
      <x:c r="V56" s="13" t="n">
        <x:v>0.033451223373413</x:v>
      </x:c>
      <x:c r="W56" s="13" t="str">
        <x:v>transmission b</x:v>
      </x:c>
      <x:c r="X56" s="13" t="n">
        <x:v>0.56</x:v>
      </x:c>
      <x:c r="Y56" s="13" t="n">
        <x:v>0.3271147310733795</x:v>
      </x:c>
      <x:c r="Z56" s="13" t="n">
        <x:v>0.23288526892662054</x:v>
      </x:c>
      <x:c r="AA56" s="10" t="str">
        <x:v>delayed_sei_three_method_inverse_20260822_140536_seed_20260901</x:v>
      </x:c>
    </x:row>
    <x:row r="57">
      <x:c r="A57" s="10" t="str">
        <x:v>Delayed SEI</x:v>
      </x:c>
      <x:c r="B57" s="11" t="n">
        <x:v>20260901</x:v>
      </x:c>
      <x:c r="C57" s="11" t="n">
        <x:v>5</x:v>
      </x:c>
      <x:c r="D57" s="12" t="n">
        <x:v>0.01</x:v>
      </x:c>
      <x:c r="E57" s="11" t="n">
        <x:v>1</x:v>
      </x:c>
      <x:c r="F57" s="11" t="n">
        <x:v>20</x:v>
      </x:c>
      <x:c r="G57" s="11" t="n">
        <x:v>3</x:v>
      </x:c>
      <x:c r="H57" s="11" t="n">
        <x:v>60</x:v>
      </x:c>
      <x:c r="I57" s="13" t="n">
        <x:v>0.5652777566910259</x:v>
      </x:c>
      <x:c r="J57" s="13" t="n">
        <x:v>0.6868984905641349</x:v>
      </x:c>
      <x:c r="K57" s="13" t="n">
        <x:v>0.03286698205656928</x:v>
      </x:c>
      <x:c r="L57" s="13" t="n">
        <x:v>0.008913641725631239</x:v>
      </x:c>
      <x:c r="M57" s="13" t="n">
        <x:v>1307.1403242582455</x:v>
      </x:c>
      <x:c r="N57" s="13" t="n">
        <x:v>1306.825127999764</x:v>
      </x:c>
      <x:c r="O57" s="10" t="str">
        <x:v>completed</x:v>
      </x:c>
      <x:c r="P57" s="11" t="n">
        <x:v>5000</x:v>
      </x:c>
      <x:c r="Q57" s="11" t="n">
        <x:v>10000</x:v>
      </x:c>
      <x:c r="R57" s="11" t="n">
        <x:v>2</x:v>
      </x:c>
      <x:c r="S57" s="10" t="str">
        <x:v>convexity a</x:v>
      </x:c>
      <x:c r="T57" s="13" t="n">
        <x:v>0.575</x:v>
      </x:c>
      <x:c r="U57" s="13" t="n">
        <x:v>1.5267460346221924</x:v>
      </x:c>
      <x:c r="V57" s="13" t="n">
        <x:v>0.9517460346221924</x:v>
      </x:c>
      <x:c r="W57" s="13" t="str">
        <x:v>transmission b</x:v>
      </x:c>
      <x:c r="X57" s="13" t="n">
        <x:v>0.52</x:v>
      </x:c>
      <x:c r="Y57" s="13" t="n">
        <x:v>0.3254786431789398</x:v>
      </x:c>
      <x:c r="Z57" s="13" t="n">
        <x:v>0.1945213568210602</x:v>
      </x:c>
      <x:c r="AA57" s="10" t="str">
        <x:v>delayed_sei_three_method_inverse_20260822_140536_seed_20260901</x:v>
      </x:c>
    </x:row>
    <x:row r="58">
      <x:c r="A58" s="10" t="str">
        <x:v>Delayed SEI</x:v>
      </x:c>
      <x:c r="B58" s="11" t="n">
        <x:v>20260901</x:v>
      </x:c>
      <x:c r="C58" s="11" t="n">
        <x:v>6</x:v>
      </x:c>
      <x:c r="D58" s="12" t="n">
        <x:v>0.01</x:v>
      </x:c>
      <x:c r="E58" s="11" t="n">
        <x:v>1</x:v>
      </x:c>
      <x:c r="F58" s="11" t="n">
        <x:v>20</x:v>
      </x:c>
      <x:c r="G58" s="11" t="n">
        <x:v>3</x:v>
      </x:c>
      <x:c r="H58" s="11" t="n">
        <x:v>60</x:v>
      </x:c>
      <x:c r="I58" s="13" t="n">
        <x:v>0.1732981315323015</x:v>
      </x:c>
      <x:c r="J58" s="13" t="n">
        <x:v>0.0703285232376471</x:v>
      </x:c>
      <x:c r="K58" s="13" t="n">
        <x:v>0.018716105099896692</x:v>
      </x:c>
      <x:c r="L58" s="13" t="n">
        <x:v>0.0076252983707552156</x:v>
      </x:c>
      <x:c r="M58" s="13" t="n">
        <x:v>1394.9104349738918</x:v>
      </x:c>
      <x:c r="N58" s="13" t="n">
        <x:v>1394.8682176489383</x:v>
      </x:c>
      <x:c r="O58" s="10" t="str">
        <x:v>completed</x:v>
      </x:c>
      <x:c r="P58" s="11" t="n">
        <x:v>5000</x:v>
      </x:c>
      <x:c r="Q58" s="11" t="n">
        <x:v>10000</x:v>
      </x:c>
      <x:c r="R58" s="11" t="n">
        <x:v>1</x:v>
      </x:c>
      <x:c r="S58" s="10" t="str">
        <x:v>convexity a</x:v>
      </x:c>
      <x:c r="T58" s="13" t="n">
        <x:v>0.875</x:v>
      </x:c>
      <x:c r="U58" s="13" t="n">
        <x:v>0.89242023229599</x:v>
      </x:c>
      <x:c r="V58" s="13" t="n">
        <x:v>0.01742023229598999</x:v>
      </x:c>
      <x:c r="W58" s="13" t="str">
        <x:v>transmission b</x:v>
      </x:c>
      <x:c r="X58" s="13" t="n">
        <x:v>0.6399999999999999</x:v>
      </x:c>
      <x:c r="Y58" s="13" t="n">
        <x:v>0.542077898979187</x:v>
      </x:c>
      <x:c r="Z58" s="13" t="n">
        <x:v>0.09792210102081289</x:v>
      </x:c>
      <x:c r="AA58" s="10" t="str">
        <x:v>delayed_sei_three_method_inverse_20260822_140536_seed_20260901</x:v>
      </x:c>
    </x:row>
    <x:row r="59">
      <x:c r="A59" s="10" t="str">
        <x:v>Delayed SEI</x:v>
      </x:c>
      <x:c r="B59" s="11" t="n">
        <x:v>20260901</x:v>
      </x:c>
      <x:c r="C59" s="11" t="n">
        <x:v>7</x:v>
      </x:c>
      <x:c r="D59" s="12" t="n">
        <x:v>0.01</x:v>
      </x:c>
      <x:c r="E59" s="11" t="n">
        <x:v>1</x:v>
      </x:c>
      <x:c r="F59" s="11" t="n">
        <x:v>20</x:v>
      </x:c>
      <x:c r="G59" s="11" t="n">
        <x:v>3</x:v>
      </x:c>
      <x:c r="H59" s="11" t="n">
        <x:v>60</x:v>
      </x:c>
      <x:c r="I59" s="13" t="n">
        <x:v>0.5685070892521008</x:v>
      </x:c>
      <x:c r="J59" s="13" t="n">
        <x:v>0.7364328053514598</x:v>
      </x:c>
      <x:c r="K59" s="13" t="n">
        <x:v>0.04790686181029978</x:v>
      </x:c>
      <x:c r="L59" s="13" t="n">
        <x:v>0.008607858152056922</x:v>
      </x:c>
      <x:c r="M59" s="13" t="n">
        <x:v>1472.50078242179</x:v>
      </x:c>
      <x:c r="N59" s="13" t="n">
        <x:v>1472.4308112422004</x:v>
      </x:c>
      <x:c r="O59" s="10" t="str">
        <x:v>completed</x:v>
      </x:c>
      <x:c r="P59" s="11" t="n">
        <x:v>5000</x:v>
      </x:c>
      <x:c r="Q59" s="11" t="n">
        <x:v>10000</x:v>
      </x:c>
      <x:c r="R59" s="11" t="n">
        <x:v>3</x:v>
      </x:c>
      <x:c r="S59" s="10" t="str">
        <x:v>convexity a</x:v>
      </x:c>
      <x:c r="T59" s="13" t="n">
        <x:v>1.625</x:v>
      </x:c>
      <x:c r="U59" s="13" t="n">
        <x:v>0.5972055196762085</x:v>
      </x:c>
      <x:c r="V59" s="13" t="n">
        <x:v>1.0277944803237915</x:v>
      </x:c>
      <x:c r="W59" s="13" t="str">
        <x:v>transmission b</x:v>
      </x:c>
      <x:c r="X59" s="13" t="n">
        <x:v>0.32</x:v>
      </x:c>
      <x:c r="Y59" s="13" t="n">
        <x:v>0.4882410764694214</x:v>
      </x:c>
      <x:c r="Z59" s="13" t="n">
        <x:v>0.16824107646942138</x:v>
      </x:c>
      <x:c r="AA59" s="10" t="str">
        <x:v>delayed_sei_three_method_inverse_20260822_140536_seed_20260901</x:v>
      </x:c>
    </x:row>
    <x:row r="60">
      <x:c r="A60" s="10" t="str">
        <x:v>Delayed SEI</x:v>
      </x:c>
      <x:c r="B60" s="11" t="n">
        <x:v>20260901</x:v>
      </x:c>
      <x:c r="C60" s="11" t="n">
        <x:v>8</x:v>
      </x:c>
      <x:c r="D60" s="12" t="n">
        <x:v>0.01</x:v>
      </x:c>
      <x:c r="E60" s="11" t="n">
        <x:v>1</x:v>
      </x:c>
      <x:c r="F60" s="11" t="n">
        <x:v>20</x:v>
      </x:c>
      <x:c r="G60" s="11" t="n">
        <x:v>3</x:v>
      </x:c>
      <x:c r="H60" s="11" t="n">
        <x:v>60</x:v>
      </x:c>
      <x:c r="I60" s="13" t="n">
        <x:v>0.3929472688297377</x:v>
      </x:c>
      <x:c r="J60" s="13" t="n">
        <x:v>0.4265014316412507</x:v>
      </x:c>
      <x:c r="K60" s="13" t="n">
        <x:v>0.03154281762928389</x:v>
      </x:c>
      <x:c r="L60" s="13" t="n">
        <x:v>0.01276676273789641</x:v>
      </x:c>
      <x:c r="M60" s="13" t="n">
        <x:v>1485.7682595588267</x:v>
      </x:c>
      <x:c r="N60" s="13" t="n">
        <x:v>1485.7244158471003</x:v>
      </x:c>
      <x:c r="O60" s="10" t="str">
        <x:v>completed</x:v>
      </x:c>
      <x:c r="P60" s="11" t="n">
        <x:v>5000</x:v>
      </x:c>
      <x:c r="Q60" s="11" t="n">
        <x:v>10000</x:v>
      </x:c>
      <x:c r="R60" s="11" t="n">
        <x:v>0</x:v>
      </x:c>
      <x:c r="S60" s="10" t="str">
        <x:v>convexity a</x:v>
      </x:c>
      <x:c r="T60" s="13" t="n">
        <x:v>1.3250000000000002</x:v>
      </x:c>
      <x:c r="U60" s="13" t="n">
        <x:v>0.7432224154472351</x:v>
      </x:c>
      <x:c r="V60" s="13" t="n">
        <x:v>0.5817775845527651</x:v>
      </x:c>
      <x:c r="W60" s="13" t="str">
        <x:v>transmission b</x:v>
      </x:c>
      <x:c r="X60" s="13" t="n">
        <x:v>0.48</x:v>
      </x:c>
      <x:c r="Y60" s="13" t="n">
        <x:v>0.6391910314559937</x:v>
      </x:c>
      <x:c r="Z60" s="13" t="n">
        <x:v>0.15919103145599367</x:v>
      </x:c>
      <x:c r="AA60" s="10" t="str">
        <x:v>delayed_sei_three_method_inverse_20260822_140536_seed_20260901</x:v>
      </x:c>
    </x:row>
    <x:row r="61">
      <x:c r="A61" s="10" t="str">
        <x:v>Delayed SEI</x:v>
      </x:c>
      <x:c r="B61" s="11" t="n">
        <x:v>20260901</x:v>
      </x:c>
      <x:c r="C61" s="11" t="n">
        <x:v>9</x:v>
      </x:c>
      <x:c r="D61" s="12" t="n">
        <x:v>0.01</x:v>
      </x:c>
      <x:c r="E61" s="11" t="n">
        <x:v>1</x:v>
      </x:c>
      <x:c r="F61" s="11" t="n">
        <x:v>20</x:v>
      </x:c>
      <x:c r="G61" s="11" t="n">
        <x:v>3</x:v>
      </x:c>
      <x:c r="H61" s="11" t="n">
        <x:v>60</x:v>
      </x:c>
      <x:c r="I61" s="13" t="n">
        <x:v>0.54157147217581</x:v>
      </x:c>
      <x:c r="J61" s="13" t="n">
        <x:v>0.45717136212763476</x:v>
      </x:c>
      <x:c r="K61" s="13" t="n">
        <x:v>0.053039835920755264</x:v>
      </x:c>
      <x:c r="L61" s="13" t="n">
        <x:v>0.009011740284252091</x:v>
      </x:c>
      <x:c r="M61" s="13" t="n">
        <x:v>1374.0019209291786</x:v>
      </x:c>
      <x:c r="N61" s="13" t="n">
        <x:v>1373.9665010231547</x:v>
      </x:c>
      <x:c r="O61" s="10" t="str">
        <x:v>completed</x:v>
      </x:c>
      <x:c r="P61" s="11" t="n">
        <x:v>5000</x:v>
      </x:c>
      <x:c r="Q61" s="11" t="n">
        <x:v>10000</x:v>
      </x:c>
      <x:c r="R61" s="11" t="n">
        <x:v>2</x:v>
      </x:c>
      <x:c r="S61" s="10" t="str">
        <x:v>convexity a</x:v>
      </x:c>
      <x:c r="T61" s="13" t="n">
        <x:v>1.025</x:v>
      </x:c>
      <x:c r="U61" s="13" t="n">
        <x:v>1.615737795829773</x:v>
      </x:c>
      <x:c r="V61" s="13" t="n">
        <x:v>0.590737795829773</x:v>
      </x:c>
      <x:c r="W61" s="13" t="str">
        <x:v>transmission b</x:v>
      </x:c>
      <x:c r="X61" s="13" t="n">
        <x:v>0.39999999999999997</x:v>
      </x:c>
      <x:c r="Y61" s="13" t="n">
        <x:v>0.6627549529075623</x:v>
      </x:c>
      <x:c r="Z61" s="13" t="n">
        <x:v>0.2627549529075623</x:v>
      </x:c>
      <x:c r="AA61" s="10" t="str">
        <x:v>delayed_sei_three_method_inverse_20260822_140536_seed_20260901</x:v>
      </x:c>
    </x:row>
    <x:row r="62">
      <x:c r="A62" s="10" t="str">
        <x:v>Delayed SEI</x:v>
      </x:c>
      <x:c r="B62" s="11" t="n">
        <x:v>20260901</x:v>
      </x:c>
      <x:c r="C62" s="11" t="n">
        <x:v>0</x:v>
      </x:c>
      <x:c r="D62" s="12" t="n">
        <x:v>0.02</x:v>
      </x:c>
      <x:c r="E62" s="11" t="n">
        <x:v>1</x:v>
      </x:c>
      <x:c r="F62" s="11" t="n">
        <x:v>20</x:v>
      </x:c>
      <x:c r="G62" s="11" t="n">
        <x:v>3</x:v>
      </x:c>
      <x:c r="H62" s="11" t="n">
        <x:v>60</x:v>
      </x:c>
      <x:c r="I62" s="13" t="n">
        <x:v>0.38289333219705785</x:v>
      </x:c>
      <x:c r="J62" s="13" t="n">
        <x:v>0.4785676198779957</x:v>
      </x:c>
      <x:c r="K62" s="13" t="n">
        <x:v>0.03350873907408961</x:v>
      </x:c>
      <x:c r="L62" s="13" t="n">
        <x:v>0.024801487422656074</x:v>
      </x:c>
      <x:c r="M62" s="13" t="n">
        <x:v>2087.8214066261426</x:v>
      </x:c>
      <x:c r="N62" s="13" t="n">
        <x:v>2087.79960054392</x:v>
      </x:c>
      <x:c r="O62" s="10" t="str">
        <x:v>completed</x:v>
      </x:c>
      <x:c r="P62" s="11" t="n">
        <x:v>5000</x:v>
      </x:c>
      <x:c r="Q62" s="11" t="n">
        <x:v>10000</x:v>
      </x:c>
      <x:c r="R62" s="11" t="n">
        <x:v>4</x:v>
      </x:c>
      <x:c r="S62" s="10" t="str">
        <x:v>convexity a</x:v>
      </x:c>
      <x:c r="T62" s="13" t="n">
        <x:v>1.475</x:v>
      </x:c>
      <x:c r="U62" s="13" t="n">
        <x:v>0.8097072839736938</x:v>
      </x:c>
      <x:c r="V62" s="13" t="n">
        <x:v>0.6652927160263062</x:v>
      </x:c>
      <x:c r="W62" s="13" t="str">
        <x:v>transmission b</x:v>
      </x:c>
      <x:c r="X62" s="13" t="n">
        <x:v>0.43999999999999995</x:v>
      </x:c>
      <x:c r="Y62" s="13" t="n">
        <x:v>0.3157440721988678</x:v>
      </x:c>
      <x:c r="Z62" s="13" t="n">
        <x:v>0.12425592780113215</x:v>
      </x:c>
      <x:c r="AA62" s="10" t="str">
        <x:v>delayed_sei_three_method_inverse_20260822_140536_seed_20260901</x:v>
      </x:c>
    </x:row>
    <x:row r="63">
      <x:c r="A63" s="10" t="str">
        <x:v>Delayed SEI</x:v>
      </x:c>
      <x:c r="B63" s="11" t="n">
        <x:v>20260901</x:v>
      </x:c>
      <x:c r="C63" s="11" t="n">
        <x:v>1</x:v>
      </x:c>
      <x:c r="D63" s="12" t="n">
        <x:v>0.02</x:v>
      </x:c>
      <x:c r="E63" s="11" t="n">
        <x:v>1</x:v>
      </x:c>
      <x:c r="F63" s="11" t="n">
        <x:v>20</x:v>
      </x:c>
      <x:c r="G63" s="11" t="n">
        <x:v>3</x:v>
      </x:c>
      <x:c r="H63" s="11" t="n">
        <x:v>60</x:v>
      </x:c>
      <x:c r="I63" s="13" t="n">
        <x:v>0.23315461034866214</x:v>
      </x:c>
      <x:c r="J63" s="13" t="n">
        <x:v>0.348829497002863</x:v>
      </x:c>
      <x:c r="K63" s="13" t="n">
        <x:v>0.002813573931446993</x:v>
      </x:c>
      <x:c r="L63" s="13" t="n">
        <x:v>0.02409660179971354</x:v>
      </x:c>
      <x:c r="M63" s="13" t="n">
        <x:v>2346.6190008800477</x:v>
      </x:c>
      <x:c r="N63" s="13" t="n">
        <x:v>2346.5886977831833</x:v>
      </x:c>
      <x:c r="O63" s="10" t="str">
        <x:v>completed</x:v>
      </x:c>
      <x:c r="P63" s="11" t="n">
        <x:v>5000</x:v>
      </x:c>
      <x:c r="Q63" s="11" t="n">
        <x:v>10000</x:v>
      </x:c>
      <x:c r="R63" s="11" t="n">
        <x:v>4</x:v>
      </x:c>
      <x:c r="S63" s="10" t="str">
        <x:v>convexity a</x:v>
      </x:c>
      <x:c r="T63" s="13" t="n">
        <x:v>1.9249999999999998</x:v>
      </x:c>
      <x:c r="U63" s="13" t="n">
        <x:v>1.4317784309387207</x:v>
      </x:c>
      <x:c r="V63" s="13" t="n">
        <x:v>0.4932215690612791</x:v>
      </x:c>
      <x:c r="W63" s="13" t="str">
        <x:v>transmission b</x:v>
      </x:c>
      <x:c r="X63" s="13" t="n">
        <x:v>0.6799999999999999</x:v>
      </x:c>
      <x:c r="Y63" s="13" t="n">
        <x:v>0.6701755523681641</x:v>
      </x:c>
      <x:c r="Z63" s="13" t="n">
        <x:v>0.009824447631835875</x:v>
      </x:c>
      <x:c r="AA63" s="10" t="str">
        <x:v>delayed_sei_three_method_inverse_20260822_140536_seed_20260901</x:v>
      </x:c>
    </x:row>
    <x:row r="64">
      <x:c r="A64" s="10" t="str">
        <x:v>Delayed SEI</x:v>
      </x:c>
      <x:c r="B64" s="11" t="n">
        <x:v>20260901</x:v>
      </x:c>
      <x:c r="C64" s="11" t="n">
        <x:v>2</x:v>
      </x:c>
      <x:c r="D64" s="12" t="n">
        <x:v>0.02</x:v>
      </x:c>
      <x:c r="E64" s="11" t="n">
        <x:v>1</x:v>
      </x:c>
      <x:c r="F64" s="11" t="n">
        <x:v>20</x:v>
      </x:c>
      <x:c r="G64" s="11" t="n">
        <x:v>3</x:v>
      </x:c>
      <x:c r="H64" s="11" t="n">
        <x:v>60</x:v>
      </x:c>
      <x:c r="I64" s="13" t="n">
        <x:v>0.15863111298018823</x:v>
      </x:c>
      <x:c r="J64" s="13" t="n">
        <x:v>0.2277003732429309</x:v>
      </x:c>
      <x:c r="K64" s="13" t="n">
        <x:v>0.00922466230471385</x:v>
      </x:c>
      <x:c r="L64" s="13" t="n">
        <x:v>0.018803803828554067</x:v>
      </x:c>
      <x:c r="M64" s="13" t="n">
        <x:v>6270.383419864811</x:v>
      </x:c>
      <x:c r="N64" s="13" t="n">
        <x:v>6270.338310863823</x:v>
      </x:c>
      <x:c r="O64" s="10" t="str">
        <x:v>completed</x:v>
      </x:c>
      <x:c r="P64" s="11" t="n">
        <x:v>5000</x:v>
      </x:c>
      <x:c r="Q64" s="11" t="n">
        <x:v>10000</x:v>
      </x:c>
      <x:c r="R64" s="11" t="n">
        <x:v>0</x:v>
      </x:c>
      <x:c r="S64" s="10" t="str">
        <x:v>convexity a</x:v>
      </x:c>
      <x:c r="T64" s="13" t="n">
        <x:v>0.725</x:v>
      </x:c>
      <x:c r="U64" s="13" t="n">
        <x:v>1.045880675315857</x:v>
      </x:c>
      <x:c r="V64" s="13" t="n">
        <x:v>0.32088067531585696</x:v>
      </x:c>
      <x:c r="W64" s="13" t="str">
        <x:v>transmission b</x:v>
      </x:c>
      <x:c r="X64" s="13" t="n">
        <x:v>0.6</x:v>
      </x:c>
      <x:c r="Y64" s="13" t="n">
        <x:v>0.6270279884338379</x:v>
      </x:c>
      <x:c r="Z64" s="13" t="n">
        <x:v>0.027027988433837913</x:v>
      </x:c>
      <x:c r="AA64" s="10" t="str">
        <x:v>delayed_sei_three_method_inverse_20260822_140536_seed_20260901</x:v>
      </x:c>
    </x:row>
    <x:row r="65">
      <x:c r="A65" s="10" t="str">
        <x:v>Delayed SEI</x:v>
      </x:c>
      <x:c r="B65" s="11" t="n">
        <x:v>20260901</x:v>
      </x:c>
      <x:c r="C65" s="11" t="n">
        <x:v>3</x:v>
      </x:c>
      <x:c r="D65" s="12" t="n">
        <x:v>0.02</x:v>
      </x:c>
      <x:c r="E65" s="11" t="n">
        <x:v>1</x:v>
      </x:c>
      <x:c r="F65" s="11" t="n">
        <x:v>20</x:v>
      </x:c>
      <x:c r="G65" s="11" t="n">
        <x:v>3</x:v>
      </x:c>
      <x:c r="H65" s="11" t="n">
        <x:v>60</x:v>
      </x:c>
      <x:c r="I65" s="13" t="n">
        <x:v>0.5723492914341647</x:v>
      </x:c>
      <x:c r="J65" s="13" t="n">
        <x:v>0.2316189161157331</x:v>
      </x:c>
      <x:c r="K65" s="13" t="n">
        <x:v>0.048569228369370866</x:v>
      </x:c>
      <x:c r="L65" s="13" t="n">
        <x:v>0.023776500328760074</x:v>
      </x:c>
      <x:c r="M65" s="13" t="n">
        <x:v>5031.675888768863</x:v>
      </x:c>
      <x:c r="N65" s="13" t="n">
        <x:v>5031.6307212058455</x:v>
      </x:c>
      <x:c r="O65" s="10" t="str">
        <x:v>completed</x:v>
      </x:c>
      <x:c r="P65" s="11" t="n">
        <x:v>5000</x:v>
      </x:c>
      <x:c r="Q65" s="11" t="n">
        <x:v>10000</x:v>
      </x:c>
      <x:c r="R65" s="11" t="n">
        <x:v>0</x:v>
      </x:c>
      <x:c r="S65" s="10" t="str">
        <x:v>convexity a</x:v>
      </x:c>
      <x:c r="T65" s="13" t="n">
        <x:v>1.175</x:v>
      </x:c>
      <x:c r="U65" s="13" t="n">
        <x:v>1.1234560012817383</x:v>
      </x:c>
      <x:c r="V65" s="13" t="n">
        <x:v>0.05154399871826176</x:v>
      </x:c>
      <x:c r="W65" s="13" t="str">
        <x:v>transmission b</x:v>
      </x:c>
      <x:c r="X65" s="13" t="n">
        <x:v>0.36</x:v>
      </x:c>
      <x:c r="Y65" s="13" t="n">
        <x:v>0.6834777593612671</x:v>
      </x:c>
      <x:c r="Z65" s="13" t="n">
        <x:v>0.3234777593612671</x:v>
      </x:c>
      <x:c r="AA65" s="10" t="str">
        <x:v>delayed_sei_three_method_inverse_20260822_140536_seed_20260901</x:v>
      </x:c>
    </x:row>
    <x:row r="66">
      <x:c r="A66" s="10" t="str">
        <x:v>Delayed SEI</x:v>
      </x:c>
      <x:c r="B66" s="11" t="n">
        <x:v>20260901</x:v>
      </x:c>
      <x:c r="C66" s="11" t="n">
        <x:v>4</x:v>
      </x:c>
      <x:c r="D66" s="12" t="n">
        <x:v>0.02</x:v>
      </x:c>
      <x:c r="E66" s="11" t="n">
        <x:v>1</x:v>
      </x:c>
      <x:c r="F66" s="11" t="n">
        <x:v>20</x:v>
      </x:c>
      <x:c r="G66" s="11" t="n">
        <x:v>3</x:v>
      </x:c>
      <x:c r="H66" s="11" t="n">
        <x:v>60</x:v>
      </x:c>
      <x:c r="I66" s="13" t="n">
        <x:v>0.4257545337545337</x:v>
      </x:c>
      <x:c r="J66" s="13" t="n">
        <x:v>0.17389471085109412</x:v>
      </x:c>
      <x:c r="K66" s="13" t="n">
        <x:v>0.06449696856285259</x:v>
      </x:c>
      <x:c r="L66" s="13" t="n">
        <x:v>0.01922386145348663</x:v>
      </x:c>
      <x:c r="M66" s="13" t="n">
        <x:v>1251.7338514411822</x:v>
      </x:c>
      <x:c r="N66" s="13" t="n">
        <x:v>1251.6908998107538</x:v>
      </x:c>
      <x:c r="O66" s="10" t="str">
        <x:v>completed</x:v>
      </x:c>
      <x:c r="P66" s="11" t="n">
        <x:v>5000</x:v>
      </x:c>
      <x:c r="Q66" s="11" t="n">
        <x:v>10000</x:v>
      </x:c>
      <x:c r="R66" s="11" t="n">
        <x:v>2</x:v>
      </x:c>
      <x:c r="S66" s="10" t="str">
        <x:v>convexity a</x:v>
      </x:c>
      <x:c r="T66" s="13" t="n">
        <x:v>1.775</x:v>
      </x:c>
      <x:c r="U66" s="13" t="n">
        <x:v>1.7233989238739014</x:v>
      </x:c>
      <x:c r="V66" s="13" t="n">
        <x:v>0.051601076126098544</x:v>
      </x:c>
      <x:c r="W66" s="13" t="str">
        <x:v>transmission b</x:v>
      </x:c>
      <x:c r="X66" s="13" t="n">
        <x:v>0.56</x:v>
      </x:c>
      <x:c r="Y66" s="13" t="n">
        <x:v>0.3195502758026123</x:v>
      </x:c>
      <x:c r="Z66" s="13" t="n">
        <x:v>0.24044972419738775</x:v>
      </x:c>
      <x:c r="AA66" s="10" t="str">
        <x:v>delayed_sei_three_method_inverse_20260822_140536_seed_20260901</x:v>
      </x:c>
    </x:row>
    <x:row r="67">
      <x:c r="A67" s="10" t="str">
        <x:v>Delayed SEI</x:v>
      </x:c>
      <x:c r="B67" s="11" t="n">
        <x:v>20260901</x:v>
      </x:c>
      <x:c r="C67" s="11" t="n">
        <x:v>5</x:v>
      </x:c>
      <x:c r="D67" s="12" t="n">
        <x:v>0.02</x:v>
      </x:c>
      <x:c r="E67" s="11" t="n">
        <x:v>1</x:v>
      </x:c>
      <x:c r="F67" s="11" t="n">
        <x:v>20</x:v>
      </x:c>
      <x:c r="G67" s="11" t="n">
        <x:v>3</x:v>
      </x:c>
      <x:c r="H67" s="11" t="n">
        <x:v>60</x:v>
      </x:c>
      <x:c r="I67" s="13" t="n">
        <x:v>0.5721013480796424</x:v>
      </x:c>
      <x:c r="J67" s="13" t="n">
        <x:v>0.8168439705409271</x:v>
      </x:c>
      <x:c r="K67" s="13" t="n">
        <x:v>0.023922641435228906</x:v>
      </x:c>
      <x:c r="L67" s="13" t="n">
        <x:v>0.02315037323197926</x:v>
      </x:c>
      <x:c r="M67" s="13" t="n">
        <x:v>2319.170477144886</x:v>
      </x:c>
      <x:c r="N67" s="13" t="n">
        <x:v>2319.1246835198253</x:v>
      </x:c>
      <x:c r="O67" s="10" t="str">
        <x:v>completed</x:v>
      </x:c>
      <x:c r="P67" s="11" t="n">
        <x:v>5000</x:v>
      </x:c>
      <x:c r="Q67" s="11" t="n">
        <x:v>10000</x:v>
      </x:c>
      <x:c r="R67" s="11" t="n">
        <x:v>3</x:v>
      </x:c>
      <x:c r="S67" s="10" t="str">
        <x:v>convexity a</x:v>
      </x:c>
      <x:c r="T67" s="13" t="n">
        <x:v>0.575</x:v>
      </x:c>
      <x:c r="U67" s="13" t="n">
        <x:v>1.7255973815917969</x:v>
      </x:c>
      <x:c r="V67" s="13" t="n">
        <x:v>1.150597381591797</x:v>
      </x:c>
      <x:c r="W67" s="13" t="str">
        <x:v>transmission b</x:v>
      </x:c>
      <x:c r="X67" s="13" t="n">
        <x:v>0.52</x:v>
      </x:c>
      <x:c r="Y67" s="13" t="n">
        <x:v>0.6229262351989746</x:v>
      </x:c>
      <x:c r="Z67" s="13" t="n">
        <x:v>0.10292623519897459</x:v>
      </x:c>
      <x:c r="AA67" s="10" t="str">
        <x:v>delayed_sei_three_method_inverse_20260822_140536_seed_20260901</x:v>
      </x:c>
    </x:row>
    <x:row r="68">
      <x:c r="A68" s="10" t="str">
        <x:v>Delayed SEI</x:v>
      </x:c>
      <x:c r="B68" s="11" t="n">
        <x:v>20260901</x:v>
      </x:c>
      <x:c r="C68" s="11" t="n">
        <x:v>6</x:v>
      </x:c>
      <x:c r="D68" s="12" t="n">
        <x:v>0.02</x:v>
      </x:c>
      <x:c r="E68" s="11" t="n">
        <x:v>1</x:v>
      </x:c>
      <x:c r="F68" s="11" t="n">
        <x:v>20</x:v>
      </x:c>
      <x:c r="G68" s="11" t="n">
        <x:v>3</x:v>
      </x:c>
      <x:c r="H68" s="11" t="n">
        <x:v>60</x:v>
      </x:c>
      <x:c r="I68" s="13" t="n">
        <x:v>0.49263200401064156</x:v>
      </x:c>
      <x:c r="J68" s="13" t="n">
        <x:v>0.7302202430809603</x:v>
      </x:c>
      <x:c r="K68" s="13" t="n">
        <x:v>0.011033304934067116</x:v>
      </x:c>
      <x:c r="L68" s="13" t="n">
        <x:v>0.022004494581214062</x:v>
      </x:c>
      <x:c r="M68" s="13" t="n">
        <x:v>2535.577033326961</x:v>
      </x:c>
      <x:c r="N68" s="13" t="n">
        <x:v>2535.5362813519314</x:v>
      </x:c>
      <x:c r="O68" s="10" t="str">
        <x:v>completed</x:v>
      </x:c>
      <x:c r="P68" s="11" t="n">
        <x:v>5000</x:v>
      </x:c>
      <x:c r="Q68" s="11" t="n">
        <x:v>10000</x:v>
      </x:c>
      <x:c r="R68" s="11" t="n">
        <x:v>4</x:v>
      </x:c>
      <x:c r="S68" s="10" t="str">
        <x:v>convexity a</x:v>
      </x:c>
      <x:c r="T68" s="13" t="n">
        <x:v>0.875</x:v>
      </x:c>
      <x:c r="U68" s="13" t="n">
        <x:v>1.9067363739013672</x:v>
      </x:c>
      <x:c r="V68" s="13" t="n">
        <x:v>1.0317363739013672</x:v>
      </x:c>
      <x:c r="W68" s="13" t="str">
        <x:v>transmission b</x:v>
      </x:c>
      <x:c r="X68" s="13" t="n">
        <x:v>0.6399999999999999</x:v>
      </x:c>
      <x:c r="Y68" s="13" t="n">
        <x:v>0.6843087077140808</x:v>
      </x:c>
      <x:c r="Z68" s="13" t="n">
        <x:v>0.04430870771408091</x:v>
      </x:c>
      <x:c r="AA68" s="10" t="str">
        <x:v>delayed_sei_three_method_inverse_20260822_140536_seed_20260901</x:v>
      </x:c>
    </x:row>
    <x:row r="69">
      <x:c r="A69" s="10" t="str">
        <x:v>Delayed SEI</x:v>
      </x:c>
      <x:c r="B69" s="11" t="n">
        <x:v>20260901</x:v>
      </x:c>
      <x:c r="C69" s="11" t="n">
        <x:v>7</x:v>
      </x:c>
      <x:c r="D69" s="12" t="n">
        <x:v>0.02</x:v>
      </x:c>
      <x:c r="E69" s="11" t="n">
        <x:v>1</x:v>
      </x:c>
      <x:c r="F69" s="11" t="n">
        <x:v>20</x:v>
      </x:c>
      <x:c r="G69" s="11" t="n">
        <x:v>3</x:v>
      </x:c>
      <x:c r="H69" s="11" t="n">
        <x:v>60</x:v>
      </x:c>
      <x:c r="I69" s="13" t="n">
        <x:v>0.6754765535288072</x:v>
      </x:c>
      <x:c r="J69" s="13" t="n">
        <x:v>0.7487875298201739</x:v>
      </x:c>
      <x:c r="K69" s="13" t="n">
        <x:v>0.08155423711582951</x:v>
      </x:c>
      <x:c r="L69" s="13" t="n">
        <x:v>0.02597352287286078</x:v>
      </x:c>
      <x:c r="M69" s="13" t="n">
        <x:v>6277.959584314842</x:v>
      </x:c>
      <x:c r="N69" s="13" t="n">
        <x:v>6277.920038242824</x:v>
      </x:c>
      <x:c r="O69" s="10" t="str">
        <x:v>completed</x:v>
      </x:c>
      <x:c r="P69" s="11" t="n">
        <x:v>5000</x:v>
      </x:c>
      <x:c r="Q69" s="11" t="n">
        <x:v>10000</x:v>
      </x:c>
      <x:c r="R69" s="11" t="n">
        <x:v>3</x:v>
      </x:c>
      <x:c r="S69" s="10" t="str">
        <x:v>convexity a</x:v>
      </x:c>
      <x:c r="T69" s="13" t="n">
        <x:v>1.625</x:v>
      </x:c>
      <x:c r="U69" s="13" t="n">
        <x:v>0.6002911329269409</x:v>
      </x:c>
      <x:c r="V69" s="13" t="n">
        <x:v>1.024708867073059</x:v>
      </x:c>
      <x:c r="W69" s="13" t="str">
        <x:v>transmission b</x:v>
      </x:c>
      <x:c r="X69" s="13" t="n">
        <x:v>0.32</x:v>
      </x:c>
      <x:c r="Y69" s="13" t="n">
        <x:v>0.5870903730392456</x:v>
      </x:c>
      <x:c r="Z69" s="13" t="n">
        <x:v>0.2670903730392456</x:v>
      </x:c>
      <x:c r="AA69" s="10" t="str">
        <x:v>delayed_sei_three_method_inverse_20260822_140536_seed_20260901</x:v>
      </x:c>
    </x:row>
    <x:row r="70">
      <x:c r="A70" s="10" t="str">
        <x:v>Delayed SEI</x:v>
      </x:c>
      <x:c r="B70" s="11" t="n">
        <x:v>20260901</x:v>
      </x:c>
      <x:c r="C70" s="11" t="n">
        <x:v>8</x:v>
      </x:c>
      <x:c r="D70" s="12" t="n">
        <x:v>0.02</x:v>
      </x:c>
      <x:c r="E70" s="11" t="n">
        <x:v>1</x:v>
      </x:c>
      <x:c r="F70" s="11" t="n">
        <x:v>20</x:v>
      </x:c>
      <x:c r="G70" s="11" t="n">
        <x:v>3</x:v>
      </x:c>
      <x:c r="H70" s="11" t="n">
        <x:v>60</x:v>
      </x:c>
      <x:c r="I70" s="13" t="n">
        <x:v>0.3232349082539208</x:v>
      </x:c>
      <x:c r="J70" s="13" t="n">
        <x:v>0.4667254629540699</x:v>
      </x:c>
      <x:c r="K70" s="13" t="n">
        <x:v>0.01047622515230233</x:v>
      </x:c>
      <x:c r="L70" s="13" t="n">
        <x:v>0.02697946819518853</x:v>
      </x:c>
      <x:c r="M70" s="13" t="n">
        <x:v>2112.7635498982854</x:v>
      </x:c>
      <x:c r="N70" s="13" t="n">
        <x:v>2112.7464401582256</x:v>
      </x:c>
      <x:c r="O70" s="10" t="str">
        <x:v>completed</x:v>
      </x:c>
      <x:c r="P70" s="11" t="n">
        <x:v>5000</x:v>
      </x:c>
      <x:c r="Q70" s="11" t="n">
        <x:v>10000</x:v>
      </x:c>
      <x:c r="R70" s="11" t="n">
        <x:v>4</x:v>
      </x:c>
      <x:c r="S70" s="10" t="str">
        <x:v>convexity a</x:v>
      </x:c>
      <x:c r="T70" s="13" t="n">
        <x:v>1.3250000000000002</x:v>
      </x:c>
      <x:c r="U70" s="13" t="n">
        <x:v>1.9830458164215088</x:v>
      </x:c>
      <x:c r="V70" s="13" t="n">
        <x:v>0.6580458164215086</x:v>
      </x:c>
      <x:c r="W70" s="13" t="str">
        <x:v>transmission b</x:v>
      </x:c>
      <x:c r="X70" s="13" t="n">
        <x:v>0.48</x:v>
      </x:c>
      <x:c r="Y70" s="13" t="n">
        <x:v>0.5313908457756042</x:v>
      </x:c>
      <x:c r="Z70" s="13" t="n">
        <x:v>0.051390845775604266</x:v>
      </x:c>
      <x:c r="AA70" s="10" t="str">
        <x:v>delayed_sei_three_method_inverse_20260822_140536_seed_20260901</x:v>
      </x:c>
    </x:row>
    <x:row r="71">
      <x:c r="A71" s="10" t="str">
        <x:v>Delayed SEI</x:v>
      </x:c>
      <x:c r="B71" s="11" t="n">
        <x:v>20260901</x:v>
      </x:c>
      <x:c r="C71" s="11" t="n">
        <x:v>9</x:v>
      </x:c>
      <x:c r="D71" s="12" t="n">
        <x:v>0.02</x:v>
      </x:c>
      <x:c r="E71" s="11" t="n">
        <x:v>1</x:v>
      </x:c>
      <x:c r="F71" s="11" t="n">
        <x:v>20</x:v>
      </x:c>
      <x:c r="G71" s="11" t="n">
        <x:v>3</x:v>
      </x:c>
      <x:c r="H71" s="11" t="n">
        <x:v>60</x:v>
      </x:c>
      <x:c r="I71" s="13" t="n">
        <x:v>0.5732123236174852</x:v>
      </x:c>
      <x:c r="J71" s="13" t="n">
        <x:v>0.47774415300511325</x:v>
      </x:c>
      <x:c r="K71" s="13" t="n">
        <x:v>0.057143835559652044</x:v>
      </x:c>
      <x:c r="L71" s="13" t="n">
        <x:v>0.020850017432684793</x:v>
      </x:c>
      <x:c r="M71" s="13" t="n">
        <x:v>2362.892401558347</x:v>
      </x:c>
      <x:c r="N71" s="13" t="n">
        <x:v>2362.861049577128</x:v>
      </x:c>
      <x:c r="O71" s="10" t="str">
        <x:v>completed</x:v>
      </x:c>
      <x:c r="P71" s="11" t="n">
        <x:v>5000</x:v>
      </x:c>
      <x:c r="Q71" s="11" t="n">
        <x:v>10000</x:v>
      </x:c>
      <x:c r="R71" s="11" t="n">
        <x:v>2</x:v>
      </x:c>
      <x:c r="S71" s="10" t="str">
        <x:v>convexity a</x:v>
      </x:c>
      <x:c r="T71" s="13" t="n">
        <x:v>1.025</x:v>
      </x:c>
      <x:c r="U71" s="13" t="n">
        <x:v>1.6400059461593628</x:v>
      </x:c>
      <x:c r="V71" s="13" t="n">
        <x:v>0.6150059461593629</x:v>
      </x:c>
      <x:c r="W71" s="13" t="str">
        <x:v>transmission b</x:v>
      </x:c>
      <x:c r="X71" s="13" t="n">
        <x:v>0.39999999999999997</x:v>
      </x:c>
      <x:c r="Y71" s="13" t="n">
        <x:v>0.6797260046005249</x:v>
      </x:c>
      <x:c r="Z71" s="13" t="n">
        <x:v>0.27972600460052494</x:v>
      </x:c>
      <x:c r="AA71" s="10" t="str">
        <x:v>delayed_sei_three_method_inverse_20260822_140536_seed_20260901</x:v>
      </x:c>
    </x:row>
    <x:row r="72">
      <x:c r="A72" s="10" t="str">
        <x:v>Delayed SEI</x:v>
      </x:c>
      <x:c r="B72" s="11" t="n">
        <x:v>20260901</x:v>
      </x:c>
      <x:c r="C72" s="11" t="n">
        <x:v>0</x:v>
      </x:c>
      <x:c r="D72" s="12" t="n">
        <x:v>0.05</x:v>
      </x:c>
      <x:c r="E72" s="11" t="n">
        <x:v>1</x:v>
      </x:c>
      <x:c r="F72" s="11" t="n">
        <x:v>20</x:v>
      </x:c>
      <x:c r="G72" s="11" t="n">
        <x:v>3</x:v>
      </x:c>
      <x:c r="H72" s="11" t="n">
        <x:v>60</x:v>
      </x:c>
      <x:c r="I72" s="13" t="n">
        <x:v>0.3370762405466936</x:v>
      </x:c>
      <x:c r="J72" s="13" t="n">
        <x:v>0.3695845442818109</x:v>
      </x:c>
      <x:c r="K72" s="13" t="n">
        <x:v>0.034798653793515516</x:v>
      </x:c>
      <x:c r="L72" s="13" t="n">
        <x:v>0.061547691141352945</x:v>
      </x:c>
      <x:c r="M72" s="13" t="n">
        <x:v>2348.832923322916</x:v>
      </x:c>
      <x:c r="N72" s="13" t="n">
        <x:v>2348.7941053546965</x:v>
      </x:c>
      <x:c r="O72" s="10" t="str">
        <x:v>completed</x:v>
      </x:c>
      <x:c r="P72" s="11" t="n">
        <x:v>5000</x:v>
      </x:c>
      <x:c r="Q72" s="11" t="n">
        <x:v>10000</x:v>
      </x:c>
      <x:c r="R72" s="11" t="n">
        <x:v>2</x:v>
      </x:c>
      <x:c r="S72" s="10" t="str">
        <x:v>convexity a</x:v>
      </x:c>
      <x:c r="T72" s="13" t="n">
        <x:v>1.475</x:v>
      </x:c>
      <x:c r="U72" s="13" t="n">
        <x:v>1.9799329042434692</x:v>
      </x:c>
      <x:c r="V72" s="13" t="n">
        <x:v>0.5049329042434691</x:v>
      </x:c>
      <x:c r="W72" s="13" t="str">
        <x:v>transmission b</x:v>
      </x:c>
      <x:c r="X72" s="13" t="n">
        <x:v>0.43999999999999995</x:v>
      </x:c>
      <x:c r="Y72" s="13" t="n">
        <x:v>0.3049880266189575</x:v>
      </x:c>
      <x:c r="Z72" s="13" t="n">
        <x:v>0.13501197338104243</x:v>
      </x:c>
      <x:c r="AA72" s="10" t="str">
        <x:v>delayed_sei_three_method_inverse_20260822_140536_seed_20260901</x:v>
      </x:c>
    </x:row>
    <x:row r="73">
      <x:c r="A73" s="10" t="str">
        <x:v>Delayed SEI</x:v>
      </x:c>
      <x:c r="B73" s="11" t="n">
        <x:v>20260901</x:v>
      </x:c>
      <x:c r="C73" s="11" t="n">
        <x:v>1</x:v>
      </x:c>
      <x:c r="D73" s="12" t="n">
        <x:v>0.05</x:v>
      </x:c>
      <x:c r="E73" s="11" t="n">
        <x:v>1</x:v>
      </x:c>
      <x:c r="F73" s="11" t="n">
        <x:v>20</x:v>
      </x:c>
      <x:c r="G73" s="11" t="n">
        <x:v>3</x:v>
      </x:c>
      <x:c r="H73" s="11" t="n">
        <x:v>60</x:v>
      </x:c>
      <x:c r="I73" s="13" t="n">
        <x:v>0.7784357697708397</x:v>
      </x:c>
      <x:c r="J73" s="13" t="n">
        <x:v>0.6850965137028389</x:v>
      </x:c>
      <x:c r="K73" s="13" t="n">
        <x:v>0.062175802130602795</x:v>
      </x:c>
      <x:c r="L73" s="13" t="n">
        <x:v>0.06002845669534531</x:v>
      </x:c>
      <x:c r="M73" s="13" t="n">
        <x:v>2329.789686363656</x:v>
      </x:c>
      <x:c r="N73" s="13" t="n">
        <x:v>2329.7501959558576</x:v>
      </x:c>
      <x:c r="O73" s="10" t="str">
        <x:v>completed</x:v>
      </x:c>
      <x:c r="P73" s="11" t="n">
        <x:v>5000</x:v>
      </x:c>
      <x:c r="Q73" s="11" t="n">
        <x:v>10000</x:v>
      </x:c>
      <x:c r="R73" s="11" t="n">
        <x:v>3</x:v>
      </x:c>
      <x:c r="S73" s="10" t="str">
        <x:v>convexity a</x:v>
      </x:c>
      <x:c r="T73" s="13" t="n">
        <x:v>1.9249999999999998</x:v>
      </x:c>
      <x:c r="U73" s="13" t="n">
        <x:v>1.0295530557632446</x:v>
      </x:c>
      <x:c r="V73" s="13" t="n">
        <x:v>0.8954469442367552</x:v>
      </x:c>
      <x:c r="W73" s="13" t="str">
        <x:v>transmission b</x:v>
      </x:c>
      <x:c r="X73" s="13" t="n">
        <x:v>0.6799999999999999</x:v>
      </x:c>
      <x:c r="Y73" s="13" t="n">
        <x:v>0.310014545917511</x:v>
      </x:c>
      <x:c r="Z73" s="13" t="n">
        <x:v>0.36998545408248895</x:v>
      </x:c>
      <x:c r="AA73" s="10" t="str">
        <x:v>delayed_sei_three_method_inverse_20260822_140536_seed_20260901</x:v>
      </x:c>
    </x:row>
    <x:row r="74">
      <x:c r="A74" s="10" t="str">
        <x:v>Delayed SEI</x:v>
      </x:c>
      <x:c r="B74" s="11" t="n">
        <x:v>20260901</x:v>
      </x:c>
      <x:c r="C74" s="11" t="n">
        <x:v>2</x:v>
      </x:c>
      <x:c r="D74" s="12" t="n">
        <x:v>0.05</x:v>
      </x:c>
      <x:c r="E74" s="11" t="n">
        <x:v>1</x:v>
      </x:c>
      <x:c r="F74" s="11" t="n">
        <x:v>20</x:v>
      </x:c>
      <x:c r="G74" s="11" t="n">
        <x:v>3</x:v>
      </x:c>
      <x:c r="H74" s="11" t="n">
        <x:v>60</x:v>
      </x:c>
      <x:c r="I74" s="13" t="n">
        <x:v>0.23777316437758172</x:v>
      </x:c>
      <x:c r="J74" s="13" t="n">
        <x:v>0.18064688802133308</x:v>
      </x:c>
      <x:c r="K74" s="13" t="n">
        <x:v>0.03302794819398652</x:v>
      </x:c>
      <x:c r="L74" s="13" t="n">
        <x:v>0.041407335982611336</x:v>
      </x:c>
      <x:c r="M74" s="13" t="n">
        <x:v>2551.3008630387485</x:v>
      </x:c>
      <x:c r="N74" s="13" t="n">
        <x:v>2551.236876036972</x:v>
      </x:c>
      <x:c r="O74" s="10" t="str">
        <x:v>completed</x:v>
      </x:c>
      <x:c r="P74" s="11" t="n">
        <x:v>5000</x:v>
      </x:c>
      <x:c r="Q74" s="11" t="n">
        <x:v>10000</x:v>
      </x:c>
      <x:c r="R74" s="11" t="n">
        <x:v>0</x:v>
      </x:c>
      <x:c r="S74" s="10" t="str">
        <x:v>convexity a</x:v>
      </x:c>
      <x:c r="T74" s="13" t="n">
        <x:v>0.725</x:v>
      </x:c>
      <x:c r="U74" s="13" t="n">
        <x:v>0.9503586888313293</x:v>
      </x:c>
      <x:c r="V74" s="13" t="n">
        <x:v>0.22535868883132937</x:v>
      </x:c>
      <x:c r="W74" s="13" t="str">
        <x:v>transmission b</x:v>
      </x:c>
      <x:c r="X74" s="13" t="n">
        <x:v>0.6</x:v>
      </x:c>
      <x:c r="Y74" s="13" t="n">
        <x:v>0.47966688871383667</x:v>
      </x:c>
      <x:c r="Z74" s="13" t="n">
        <x:v>0.12033311128616331</x:v>
      </x:c>
      <x:c r="AA74" s="10" t="str">
        <x:v>delayed_sei_three_method_inverse_20260822_140536_seed_20260901</x:v>
      </x:c>
    </x:row>
    <x:row r="75">
      <x:c r="A75" s="10" t="str">
        <x:v>Delayed SEI</x:v>
      </x:c>
      <x:c r="B75" s="11" t="n">
        <x:v>20260901</x:v>
      </x:c>
      <x:c r="C75" s="11" t="n">
        <x:v>3</x:v>
      </x:c>
      <x:c r="D75" s="12" t="n">
        <x:v>0.05</x:v>
      </x:c>
      <x:c r="E75" s="11" t="n">
        <x:v>1</x:v>
      </x:c>
      <x:c r="F75" s="11" t="n">
        <x:v>20</x:v>
      </x:c>
      <x:c r="G75" s="11" t="n">
        <x:v>3</x:v>
      </x:c>
      <x:c r="H75" s="11" t="n">
        <x:v>60</x:v>
      </x:c>
      <x:c r="I75" s="13" t="n">
        <x:v>0.6923142515307799</x:v>
      </x:c>
      <x:c r="J75" s="13" t="n">
        <x:v>0.6171353758730352</x:v>
      </x:c>
      <x:c r="K75" s="13" t="n">
        <x:v>0.05029856924456235</x:v>
      </x:c>
      <x:c r="L75" s="13" t="n">
        <x:v>0.05735729665392634</x:v>
      </x:c>
      <x:c r="M75" s="13" t="n">
        <x:v>2524.2341587990522</x:v>
      </x:c>
      <x:c r="N75" s="13" t="n">
        <x:v>2524.1774477618746</x:v>
      </x:c>
      <x:c r="O75" s="10" t="str">
        <x:v>completed</x:v>
      </x:c>
      <x:c r="P75" s="11" t="n">
        <x:v>5000</x:v>
      </x:c>
      <x:c r="Q75" s="11" t="n">
        <x:v>10000</x:v>
      </x:c>
      <x:c r="R75" s="11" t="n">
        <x:v>3</x:v>
      </x:c>
      <x:c r="S75" s="10" t="str">
        <x:v>convexity a</x:v>
      </x:c>
      <x:c r="T75" s="13" t="n">
        <x:v>1.175</x:v>
      </x:c>
      <x:c r="U75" s="13" t="n">
        <x:v>1.9842636585235596</x:v>
      </x:c>
      <x:c r="V75" s="13" t="n">
        <x:v>0.8092636585235595</x:v>
      </x:c>
      <x:c r="W75" s="13" t="str">
        <x:v>transmission b</x:v>
      </x:c>
      <x:c r="X75" s="13" t="n">
        <x:v>0.36</x:v>
      </x:c>
      <x:c r="Y75" s="13" t="n">
        <x:v>0.6868095397949219</x:v>
      </x:c>
      <x:c r="Z75" s="13" t="n">
        <x:v>0.3268095397949219</x:v>
      </x:c>
      <x:c r="AA75" s="10" t="str">
        <x:v>delayed_sei_three_method_inverse_20260822_140536_seed_20260901</x:v>
      </x:c>
    </x:row>
    <x:row r="76">
      <x:c r="A76" s="10" t="str">
        <x:v>Delayed SEI</x:v>
      </x:c>
      <x:c r="B76" s="11" t="n">
        <x:v>20260901</x:v>
      </x:c>
      <x:c r="C76" s="11" t="n">
        <x:v>4</x:v>
      </x:c>
      <x:c r="D76" s="12" t="n">
        <x:v>0.05</x:v>
      </x:c>
      <x:c r="E76" s="11" t="n">
        <x:v>1</x:v>
      </x:c>
      <x:c r="F76" s="11" t="n">
        <x:v>20</x:v>
      </x:c>
      <x:c r="G76" s="11" t="n">
        <x:v>3</x:v>
      </x:c>
      <x:c r="H76" s="11" t="n">
        <x:v>60</x:v>
      </x:c>
      <x:c r="I76" s="13" t="n">
        <x:v>0.3577684576371673</x:v>
      </x:c>
      <x:c r="J76" s="13" t="n">
        <x:v>0.15902914091984344</x:v>
      </x:c>
      <x:c r="K76" s="13" t="n">
        <x:v>0.05549108846887352</x:v>
      </x:c>
      <x:c r="L76" s="13" t="n">
        <x:v>0.054040258623495666</x:v>
      </x:c>
      <x:c r="M76" s="13" t="n">
        <x:v>2089.146873147227</x:v>
      </x:c>
      <x:c r="N76" s="13" t="n">
        <x:v>2089.1299826027825</x:v>
      </x:c>
      <x:c r="O76" s="10" t="str">
        <x:v>completed</x:v>
      </x:c>
      <x:c r="P76" s="11" t="n">
        <x:v>5000</x:v>
      </x:c>
      <x:c r="Q76" s="11" t="n">
        <x:v>10000</x:v>
      </x:c>
      <x:c r="R76" s="11" t="n">
        <x:v>2</x:v>
      </x:c>
      <x:c r="S76" s="10" t="str">
        <x:v>convexity a</x:v>
      </x:c>
      <x:c r="T76" s="13" t="n">
        <x:v>1.775</x:v>
      </x:c>
      <x:c r="U76" s="13" t="n">
        <x:v>1.6732275485992432</x:v>
      </x:c>
      <x:c r="V76" s="13" t="n">
        <x:v>0.10177245140075675</x:v>
      </x:c>
      <x:c r="W76" s="13" t="str">
        <x:v>transmission b</x:v>
      </x:c>
      <x:c r="X76" s="13" t="n">
        <x:v>0.56</x:v>
      </x:c>
      <x:c r="Y76" s="13" t="n">
        <x:v>0.3594435155391693</x:v>
      </x:c>
      <x:c r="Z76" s="13" t="n">
        <x:v>0.20055648446083074</x:v>
      </x:c>
      <x:c r="AA76" s="10" t="str">
        <x:v>delayed_sei_three_method_inverse_20260822_140536_seed_20260901</x:v>
      </x:c>
    </x:row>
    <x:row r="77">
      <x:c r="A77" s="10" t="str">
        <x:v>Delayed SEI</x:v>
      </x:c>
      <x:c r="B77" s="11" t="n">
        <x:v>20260901</x:v>
      </x:c>
      <x:c r="C77" s="11" t="n">
        <x:v>5</x:v>
      </x:c>
      <x:c r="D77" s="12" t="n">
        <x:v>0.05</x:v>
      </x:c>
      <x:c r="E77" s="11" t="n">
        <x:v>1</x:v>
      </x:c>
      <x:c r="F77" s="11" t="n">
        <x:v>20</x:v>
      </x:c>
      <x:c r="G77" s="11" t="n">
        <x:v>3</x:v>
      </x:c>
      <x:c r="H77" s="11" t="n">
        <x:v>60</x:v>
      </x:c>
      <x:c r="I77" s="13" t="n">
        <x:v>0.3244776970476238</x:v>
      </x:c>
      <x:c r="J77" s="13" t="n">
        <x:v>0.22958251094845578</x:v>
      </x:c>
      <x:c r="K77" s="13" t="n">
        <x:v>0.02919442311987639</x:v>
      </x:c>
      <x:c r="L77" s="13" t="n">
        <x:v>0.056168609578881395</x:v>
      </x:c>
      <x:c r="M77" s="13" t="n">
        <x:v>3375.27259948384</x:v>
      </x:c>
      <x:c r="N77" s="13" t="n">
        <x:v>3375.23771524895</x:v>
      </x:c>
      <x:c r="O77" s="10" t="str">
        <x:v>completed</x:v>
      </x:c>
      <x:c r="P77" s="11" t="n">
        <x:v>5000</x:v>
      </x:c>
      <x:c r="Q77" s="11" t="n">
        <x:v>10000</x:v>
      </x:c>
      <x:c r="R77" s="11" t="n">
        <x:v>0</x:v>
      </x:c>
      <x:c r="S77" s="10" t="str">
        <x:v>convexity a</x:v>
      </x:c>
      <x:c r="T77" s="13" t="n">
        <x:v>0.575</x:v>
      </x:c>
      <x:c r="U77" s="13" t="n">
        <x:v>0.852877140045166</x:v>
      </x:c>
      <x:c r="V77" s="13" t="n">
        <x:v>0.27787714004516606</x:v>
      </x:c>
      <x:c r="W77" s="13" t="str">
        <x:v>transmission b</x:v>
      </x:c>
      <x:c r="X77" s="13" t="n">
        <x:v>0.52</x:v>
      </x:c>
      <x:c r="Y77" s="13" t="n">
        <x:v>0.35206979513168335</x:v>
      </x:c>
      <x:c r="Z77" s="13" t="n">
        <x:v>0.16793020486831667</x:v>
      </x:c>
      <x:c r="AA77" s="10" t="str">
        <x:v>delayed_sei_three_method_inverse_20260822_140536_seed_20260901</x:v>
      </x:c>
    </x:row>
    <x:row r="78">
      <x:c r="A78" s="10" t="str">
        <x:v>Delayed SEI</x:v>
      </x:c>
      <x:c r="B78" s="11" t="n">
        <x:v>20260901</x:v>
      </x:c>
      <x:c r="C78" s="11" t="n">
        <x:v>6</x:v>
      </x:c>
      <x:c r="D78" s="12" t="n">
        <x:v>0.05</x:v>
      </x:c>
      <x:c r="E78" s="11" t="n">
        <x:v>1</x:v>
      </x:c>
      <x:c r="F78" s="11" t="n">
        <x:v>20</x:v>
      </x:c>
      <x:c r="G78" s="11" t="n">
        <x:v>3</x:v>
      </x:c>
      <x:c r="H78" s="11" t="n">
        <x:v>60</x:v>
      </x:c>
      <x:c r="I78" s="13" t="n">
        <x:v>0.07309411877324169</x:v>
      </x:c>
      <x:c r="J78" s="13" t="n">
        <x:v>0.04312587023214552</x:v>
      </x:c>
      <x:c r="K78" s="13" t="n">
        <x:v>0.00791042852746854</x:v>
      </x:c>
      <x:c r="L78" s="13" t="n">
        <x:v>0.052670522028915395</x:v>
      </x:c>
      <x:c r="M78" s="13" t="n">
        <x:v>2428.912241430953</x:v>
      </x:c>
      <x:c r="N78" s="13" t="n">
        <x:v>2428.8641832661815</x:v>
      </x:c>
      <x:c r="O78" s="10" t="str">
        <x:v>completed</x:v>
      </x:c>
      <x:c r="P78" s="11" t="n">
        <x:v>5000</x:v>
      </x:c>
      <x:c r="Q78" s="11" t="n">
        <x:v>10000</x:v>
      </x:c>
      <x:c r="R78" s="11" t="n">
        <x:v>3</x:v>
      </x:c>
      <x:c r="S78" s="10" t="str">
        <x:v>convexity a</x:v>
      </x:c>
      <x:c r="T78" s="13" t="n">
        <x:v>0.875</x:v>
      </x:c>
      <x:c r="U78" s="13" t="n">
        <x:v>0.8284825086593628</x:v>
      </x:c>
      <x:c r="V78" s="13" t="n">
        <x:v>0.04651749134063721</x:v>
      </x:c>
      <x:c r="W78" s="13" t="str">
        <x:v>transmission b</x:v>
      </x:c>
      <x:c r="X78" s="13" t="n">
        <x:v>0.6399999999999999</x:v>
      </x:c>
      <x:c r="Y78" s="13" t="n">
        <x:v>0.6005563139915466</x:v>
      </x:c>
      <x:c r="Z78" s="13" t="n">
        <x:v>0.03944368600845327</x:v>
      </x:c>
      <x:c r="AA78" s="10" t="str">
        <x:v>delayed_sei_three_method_inverse_20260822_140536_seed_20260901</x:v>
      </x:c>
    </x:row>
    <x:row r="79">
      <x:c r="A79" s="10" t="str">
        <x:v>Delayed SEI</x:v>
      </x:c>
      <x:c r="B79" s="11" t="n">
        <x:v>20260901</x:v>
      </x:c>
      <x:c r="C79" s="11" t="n">
        <x:v>7</x:v>
      </x:c>
      <x:c r="D79" s="12" t="n">
        <x:v>0.05</x:v>
      </x:c>
      <x:c r="E79" s="11" t="n">
        <x:v>1</x:v>
      </x:c>
      <x:c r="F79" s="11" t="n">
        <x:v>20</x:v>
      </x:c>
      <x:c r="G79" s="11" t="n">
        <x:v>3</x:v>
      </x:c>
      <x:c r="H79" s="11" t="n">
        <x:v>60</x:v>
      </x:c>
      <x:c r="I79" s="13" t="n">
        <x:v>0.502399250440607</x:v>
      </x:c>
      <x:c r="J79" s="13" t="n">
        <x:v>0.7285179364769434</x:v>
      </x:c>
      <x:c r="K79" s="13" t="n">
        <x:v>0.019395348300498907</x:v>
      </x:c>
      <x:c r="L79" s="13" t="n">
        <x:v>0.058880603906843305</x:v>
      </x:c>
      <x:c r="M79" s="13" t="n">
        <x:v>2418.159856609069</x:v>
      </x:c>
      <x:c r="N79" s="13" t="n">
        <x:v>2418.121551158838</x:v>
      </x:c>
      <x:c r="O79" s="10" t="str">
        <x:v>completed</x:v>
      </x:c>
      <x:c r="P79" s="11" t="n">
        <x:v>5000</x:v>
      </x:c>
      <x:c r="Q79" s="11" t="n">
        <x:v>10000</x:v>
      </x:c>
      <x:c r="R79" s="11" t="n">
        <x:v>3</x:v>
      </x:c>
      <x:c r="S79" s="10" t="str">
        <x:v>convexity a</x:v>
      </x:c>
      <x:c r="T79" s="13" t="n">
        <x:v>1.625</x:v>
      </x:c>
      <x:c r="U79" s="13" t="n">
        <x:v>0.5974858999252319</x:v>
      </x:c>
      <x:c r="V79" s="13" t="n">
        <x:v>1.027514100074768</x:v>
      </x:c>
      <x:c r="W79" s="13" t="str">
        <x:v>transmission b</x:v>
      </x:c>
      <x:c r="X79" s="13" t="n">
        <x:v>0.32</x:v>
      </x:c>
      <x:c r="Y79" s="13" t="n">
        <x:v>0.39544230699539185</x:v>
      </x:c>
      <x:c r="Z79" s="13" t="n">
        <x:v>0.07544230699539184</x:v>
      </x:c>
      <x:c r="AA79" s="10" t="str">
        <x:v>delayed_sei_three_method_inverse_20260822_140536_seed_20260901</x:v>
      </x:c>
    </x:row>
    <x:row r="80">
      <x:c r="A80" s="10" t="str">
        <x:v>Delayed SEI</x:v>
      </x:c>
      <x:c r="B80" s="11" t="n">
        <x:v>20260901</x:v>
      </x:c>
      <x:c r="C80" s="11" t="n">
        <x:v>8</x:v>
      </x:c>
      <x:c r="D80" s="12" t="n">
        <x:v>0.05</x:v>
      </x:c>
      <x:c r="E80" s="11" t="n">
        <x:v>1</x:v>
      </x:c>
      <x:c r="F80" s="11" t="n">
        <x:v>20</x:v>
      </x:c>
      <x:c r="G80" s="11" t="n">
        <x:v>3</x:v>
      </x:c>
      <x:c r="H80" s="11" t="n">
        <x:v>60</x:v>
      </x:c>
      <x:c r="I80" s="13" t="n">
        <x:v>0.4471598779718976</x:v>
      </x:c>
      <x:c r="J80" s="13" t="n">
        <x:v>0.4900631209557156</x:v>
      </x:c>
      <x:c r="K80" s="13" t="n">
        <x:v>0.028102731414183072</x:v>
      </x:c>
      <x:c r="L80" s="13" t="n">
        <x:v>0.06869330165582281</x:v>
      </x:c>
      <x:c r="M80" s="13" t="n">
        <x:v>2321.193951311987</x:v>
      </x:c>
      <x:c r="N80" s="13" t="n">
        <x:v>2321.168198390864</x:v>
      </x:c>
      <x:c r="O80" s="10" t="str">
        <x:v>completed</x:v>
      </x:c>
      <x:c r="P80" s="11" t="n">
        <x:v>5000</x:v>
      </x:c>
      <x:c r="Q80" s="11" t="n">
        <x:v>10000</x:v>
      </x:c>
      <x:c r="R80" s="11" t="n">
        <x:v>4</x:v>
      </x:c>
      <x:c r="S80" s="10" t="str">
        <x:v>convexity a</x:v>
      </x:c>
      <x:c r="T80" s="13" t="n">
        <x:v>1.3250000000000002</x:v>
      </x:c>
      <x:c r="U80" s="13" t="n">
        <x:v>1.9944863319396973</x:v>
      </x:c>
      <x:c r="V80" s="13" t="n">
        <x:v>0.6694863319396971</x:v>
      </x:c>
      <x:c r="W80" s="13" t="str">
        <x:v>transmission b</x:v>
      </x:c>
      <x:c r="X80" s="13" t="n">
        <x:v>0.48</x:v>
      </x:c>
      <x:c r="Y80" s="13" t="n">
        <x:v>0.30080240964889526</x:v>
      </x:c>
      <x:c r="Z80" s="13" t="n">
        <x:v>0.17919759035110472</x:v>
      </x:c>
      <x:c r="AA80" s="10" t="str">
        <x:v>delayed_sei_three_method_inverse_20260822_140536_seed_20260901</x:v>
      </x:c>
    </x:row>
    <x:row r="81">
      <x:c r="A81" s="10" t="str">
        <x:v>Delayed SEI</x:v>
      </x:c>
      <x:c r="B81" s="11" t="n">
        <x:v>20260901</x:v>
      </x:c>
      <x:c r="C81" s="11" t="n">
        <x:v>9</x:v>
      </x:c>
      <x:c r="D81" s="12" t="n">
        <x:v>0.05</x:v>
      </x:c>
      <x:c r="E81" s="11" t="n">
        <x:v>1</x:v>
      </x:c>
      <x:c r="F81" s="11" t="n">
        <x:v>20</x:v>
      </x:c>
      <x:c r="G81" s="11" t="n">
        <x:v>3</x:v>
      </x:c>
      <x:c r="H81" s="11" t="n">
        <x:v>60</x:v>
      </x:c>
      <x:c r="I81" s="13" t="n">
        <x:v>0.6173942110402487</x:v>
      </x:c>
      <x:c r="J81" s="13" t="n">
        <x:v>0.550258340960983</x:v>
      </x:c>
      <x:c r="K81" s="13" t="n">
        <x:v>0.06023294973570856</x:v>
      </x:c>
      <x:c r="L81" s="13" t="n">
        <x:v>0.05333436922703718</x:v>
      </x:c>
      <x:c r="M81" s="13" t="n">
        <x:v>2318.1770362369716</x:v>
      </x:c>
      <x:c r="N81" s="13" t="n">
        <x:v>2318.1389745329507</x:v>
      </x:c>
      <x:c r="O81" s="10" t="str">
        <x:v>completed</x:v>
      </x:c>
      <x:c r="P81" s="11" t="n">
        <x:v>5000</x:v>
      </x:c>
      <x:c r="Q81" s="11" t="n">
        <x:v>10000</x:v>
      </x:c>
      <x:c r="R81" s="11" t="n">
        <x:v>2</x:v>
      </x:c>
      <x:c r="S81" s="10" t="str">
        <x:v>convexity a</x:v>
      </x:c>
      <x:c r="T81" s="13" t="n">
        <x:v>1.025</x:v>
      </x:c>
      <x:c r="U81" s="13" t="n">
        <x:v>1.7465356588363647</x:v>
      </x:c>
      <x:c r="V81" s="13" t="n">
        <x:v>0.7215356588363648</x:v>
      </x:c>
      <x:c r="W81" s="13" t="str">
        <x:v>transmission b</x:v>
      </x:c>
      <x:c r="X81" s="13" t="n">
        <x:v>0.39999999999999997</x:v>
      </x:c>
      <x:c r="Y81" s="13" t="n">
        <x:v>0.6914700269699097</x:v>
      </x:c>
      <x:c r="Z81" s="13" t="n">
        <x:v>0.2914700269699097</x:v>
      </x:c>
      <x:c r="AA81" s="10" t="str">
        <x:v>delayed_sei_three_method_inverse_20260822_140536_seed_20260901</x:v>
      </x:c>
    </x:row>
    <x:row r="82">
      <x:c r="A82" s="10" t="str">
        <x:v>Nicholson</x:v>
      </x:c>
      <x:c r="B82" s="11" t="n">
        <x:v>20260901</x:v>
      </x:c>
      <x:c r="C82" s="11" t="n">
        <x:v>0</x:v>
      </x:c>
      <x:c r="D82" s="12" t="n">
        <x:v>0.005</x:v>
      </x:c>
      <x:c r="E82" s="11" t="n">
        <x:v>1</x:v>
      </x:c>
      <x:c r="F82" s="11" t="n">
        <x:v>20</x:v>
      </x:c>
      <x:c r="G82" s="11" t="n">
        <x:v>4</x:v>
      </x:c>
      <x:c r="H82" s="11" t="n">
        <x:v>80</x:v>
      </x:c>
      <x:c r="I82" s="13" t="n">
        <x:v>0.12189868549608916</x:v>
      </x:c>
      <x:c r="J82" s="13" t="n">
        <x:v>0.07328794581147713</x:v>
      </x:c>
      <x:c r="K82" s="13" t="n">
        <x:v>0.0012445276896245916</x:v>
      </x:c>
      <x:c r="L82" s="13" t="n">
        <x:v>0.0011719228342722814</x:v>
      </x:c>
      <x:c r="M82" s="13" t="n">
        <x:v>2667.7060844320804</x:v>
      </x:c>
      <x:c r="N82" s="13" t="n">
        <x:v>2666.338500909973</x:v>
      </x:c>
      <x:c r="O82" s="10" t="str">
        <x:v>completed</x:v>
      </x:c>
      <x:c r="P82" s="11" t="n">
        <x:v>5000</x:v>
      </x:c>
      <x:c r="Q82" s="11" t="n">
        <x:v>10000</x:v>
      </x:c>
      <x:c r="R82" s="11" t="n">
        <x:v>1</x:v>
      </x:c>
      <x:c r="S82" s="10" t="str">
        <x:v>beta</x:v>
      </x:c>
      <x:c r="T82" s="13" t="n">
        <x:v>4.4</x:v>
      </x:c>
      <x:c r="U82" s="13" t="n">
        <x:v>4.406675338745117</x:v>
      </x:c>
      <x:c r="V82" s="13" t="n">
        <x:v>0.006675338745116832</x:v>
      </x:c>
      <x:c r="W82" s="13" t="str">
        <x:v>tau0</x:v>
      </x:c>
      <x:c r="X82" s="13" t="n">
        <x:v>1.19</x:v>
      </x:c>
      <x:c r="Y82" s="13" t="n">
        <x:v>1.086570382118225</x:v>
      </x:c>
      <x:c r="Z82" s="13" t="n">
        <x:v>0.10342961788177485</x:v>
      </x:c>
      <x:c r="AA82" s="10" t="str">
        <x:v>nicholson_three_method_inverse_20260822_064851_seed_20260901</x:v>
      </x:c>
    </x:row>
    <x:row r="83">
      <x:c r="A83" s="10" t="str">
        <x:v>Nicholson</x:v>
      </x:c>
      <x:c r="B83" s="11" t="n">
        <x:v>20260901</x:v>
      </x:c>
      <x:c r="C83" s="11" t="n">
        <x:v>1</x:v>
      </x:c>
      <x:c r="D83" s="12" t="n">
        <x:v>0.005</x:v>
      </x:c>
      <x:c r="E83" s="11" t="n">
        <x:v>1</x:v>
      </x:c>
      <x:c r="F83" s="11" t="n">
        <x:v>20</x:v>
      </x:c>
      <x:c r="G83" s="11" t="n">
        <x:v>4</x:v>
      </x:c>
      <x:c r="H83" s="11" t="n">
        <x:v>80</x:v>
      </x:c>
      <x:c r="I83" s="13" t="n">
        <x:v>0.0064354229306637515</x:v>
      </x:c>
      <x:c r="J83" s="13" t="n">
        <x:v>0.003941360615385914</x:v>
      </x:c>
      <x:c r="K83" s="13" t="n">
        <x:v>0.00039371897965771263</x:v>
      </x:c>
      <x:c r="L83" s="13" t="n">
        <x:v>0.0012315017616965445</x:v>
      </x:c>
      <x:c r="M83" s="13" t="n">
        <x:v>4155.480961106252</x:v>
      </x:c>
      <x:c r="N83" s="13" t="n">
        <x:v>4154.020540290978</x:v>
      </x:c>
      <x:c r="O83" s="10" t="str">
        <x:v>completed</x:v>
      </x:c>
      <x:c r="P83" s="11" t="n">
        <x:v>5000</x:v>
      </x:c>
      <x:c r="Q83" s="11" t="n">
        <x:v>10000</x:v>
      </x:c>
      <x:c r="R83" s="11" t="n">
        <x:v>4</x:v>
      </x:c>
      <x:c r="S83" s="10" t="str">
        <x:v>beta</x:v>
      </x:c>
      <x:c r="T83" s="13" t="n">
        <x:v>6.8</x:v>
      </x:c>
      <x:c r="U83" s="13" t="n">
        <x:v>6.7988691329956055</x:v>
      </x:c>
      <x:c r="V83" s="13" t="n">
        <x:v>0.0011308670043943536</x:v>
      </x:c>
      <x:c r="W83" s="13" t="str">
        <x:v>tau0</x:v>
      </x:c>
      <x:c r="X83" s="13" t="n">
        <x:v>1.3699999999999999</x:v>
      </x:c>
      <x:c r="Y83" s="13" t="n">
        <x:v>1.375458002090454</x:v>
      </x:c>
      <x:c r="Z83" s="13" t="n">
        <x:v>0.005458002090454217</x:v>
      </x:c>
      <x:c r="AA83" s="10" t="str">
        <x:v>nicholson_three_method_inverse_20260822_064851_seed_20260901</x:v>
      </x:c>
    </x:row>
    <x:row r="84">
      <x:c r="A84" s="10" t="str">
        <x:v>Nicholson</x:v>
      </x:c>
      <x:c r="B84" s="11" t="n">
        <x:v>20260901</x:v>
      </x:c>
      <x:c r="C84" s="11" t="n">
        <x:v>2</x:v>
      </x:c>
      <x:c r="D84" s="12" t="n">
        <x:v>0.005</x:v>
      </x:c>
      <x:c r="E84" s="11" t="n">
        <x:v>1</x:v>
      </x:c>
      <x:c r="F84" s="11" t="n">
        <x:v>20</x:v>
      </x:c>
      <x:c r="G84" s="11" t="n">
        <x:v>4</x:v>
      </x:c>
      <x:c r="H84" s="11" t="n">
        <x:v>80</x:v>
      </x:c>
      <x:c r="I84" s="13" t="n">
        <x:v>0.008042678634463252</x:v>
      </x:c>
      <x:c r="J84" s="13" t="n">
        <x:v>0.005107104446694479</x:v>
      </x:c>
      <x:c r="K84" s="13" t="n">
        <x:v>0.0002780236604488451</x:v>
      </x:c>
      <x:c r="L84" s="13" t="n">
        <x:v>0.0008418698583298622</x:v>
      </x:c>
      <x:c r="M84" s="13" t="n">
        <x:v>6685.730265674181</x:v>
      </x:c>
      <x:c r="N84" s="13" t="n">
        <x:v>6685.667613467202</x:v>
      </x:c>
      <x:c r="O84" s="10" t="str">
        <x:v>completed</x:v>
      </x:c>
      <x:c r="P84" s="11" t="n">
        <x:v>5000</x:v>
      </x:c>
      <x:c r="Q84" s="11" t="n">
        <x:v>10000</x:v>
      </x:c>
      <x:c r="R84" s="11" t="n">
        <x:v>1</x:v>
      </x:c>
      <x:c r="S84" s="10" t="str">
        <x:v>beta</x:v>
      </x:c>
      <x:c r="T84" s="13" t="n">
        <x:v>6</x:v>
      </x:c>
      <x:c r="U84" s="13" t="n">
        <x:v>5.997608184814453</x:v>
      </x:c>
      <x:c r="V84" s="13" t="n">
        <x:v>0.002391815185546875</x:v>
      </x:c>
      <x:c r="W84" s="13" t="str">
        <x:v>tau0</x:v>
      </x:c>
      <x:c r="X84" s="13" t="n">
        <x:v>0.89</x:v>
      </x:c>
      <x:c r="Y84" s="13" t="n">
        <x:v>0.8968150019645691</x:v>
      </x:c>
      <x:c r="Z84" s="13" t="n">
        <x:v>0.0068150019645690785</x:v>
      </x:c>
      <x:c r="AA84" s="10" t="str">
        <x:v>nicholson_three_method_inverse_20260822_064851_seed_20260901</x:v>
      </x:c>
    </x:row>
    <x:row r="85">
      <x:c r="A85" s="10" t="str">
        <x:v>Nicholson</x:v>
      </x:c>
      <x:c r="B85" s="11" t="n">
        <x:v>20260901</x:v>
      </x:c>
      <x:c r="C85" s="11" t="n">
        <x:v>3</x:v>
      </x:c>
      <x:c r="D85" s="12" t="n">
        <x:v>0.005</x:v>
      </x:c>
      <x:c r="E85" s="11" t="n">
        <x:v>1</x:v>
      </x:c>
      <x:c r="F85" s="11" t="n">
        <x:v>20</x:v>
      </x:c>
      <x:c r="G85" s="11" t="n">
        <x:v>4</x:v>
      </x:c>
      <x:c r="H85" s="11" t="n">
        <x:v>80</x:v>
      </x:c>
      <x:c r="I85" s="13" t="n">
        <x:v>0.27501365871447464</x:v>
      </x:c>
      <x:c r="J85" s="13" t="n">
        <x:v>0.16503525882347006</x:v>
      </x:c>
      <x:c r="K85" s="13" t="n">
        <x:v>0.0015988941132256752</x:v>
      </x:c>
      <x:c r="L85" s="13" t="n">
        <x:v>0.0018249311267966542</x:v>
      </x:c>
      <x:c r="M85" s="13" t="n">
        <x:v>2756.6670128530823</x:v>
      </x:c>
      <x:c r="N85" s="13" t="n">
        <x:v>2756.64241270395</x:v>
      </x:c>
      <x:c r="O85" s="10" t="str">
        <x:v>completed</x:v>
      </x:c>
      <x:c r="P85" s="11" t="n">
        <x:v>5000</x:v>
      </x:c>
      <x:c r="Q85" s="11" t="n">
        <x:v>10000</x:v>
      </x:c>
      <x:c r="R85" s="11" t="n">
        <x:v>1</x:v>
      </x:c>
      <x:c r="S85" s="10" t="str">
        <x:v>beta</x:v>
      </x:c>
      <x:c r="T85" s="13" t="n">
        <x:v>3.6</x:v>
      </x:c>
      <x:c r="U85" s="13" t="n">
        <x:v>3.6042749881744385</x:v>
      </x:c>
      <x:c r="V85" s="13" t="n">
        <x:v>0.004274988174438388</x:v>
      </x:c>
      <x:c r="W85" s="13" t="str">
        <x:v>tau0</x:v>
      </x:c>
      <x:c r="X85" s="13" t="n">
        <x:v>1.07</x:v>
      </x:c>
      <x:c r="Y85" s="13" t="n">
        <x:v>0.8366440534591675</x:v>
      </x:c>
      <x:c r="Z85" s="13" t="n">
        <x:v>0.23335594654083258</x:v>
      </x:c>
      <x:c r="AA85" s="10" t="str">
        <x:v>nicholson_three_method_inverse_20260822_064851_seed_20260901</x:v>
      </x:c>
    </x:row>
    <x:row r="86">
      <x:c r="A86" s="10" t="str">
        <x:v>Nicholson</x:v>
      </x:c>
      <x:c r="B86" s="11" t="n">
        <x:v>20260901</x:v>
      </x:c>
      <x:c r="C86" s="11" t="n">
        <x:v>4</x:v>
      </x:c>
      <x:c r="D86" s="12" t="n">
        <x:v>0.005</x:v>
      </x:c>
      <x:c r="E86" s="11" t="n">
        <x:v>1</x:v>
      </x:c>
      <x:c r="F86" s="11" t="n">
        <x:v>20</x:v>
      </x:c>
      <x:c r="G86" s="11" t="n">
        <x:v>4</x:v>
      </x:c>
      <x:c r="H86" s="11" t="n">
        <x:v>80</x:v>
      </x:c>
      <x:c r="I86" s="13" t="n">
        <x:v>0.01767118842936339</x:v>
      </x:c>
      <x:c r="J86" s="13" t="n">
        <x:v>0.010619207631686736</x:v>
      </x:c>
      <x:c r="K86" s="13" t="n">
        <x:v>0.0004726710727359552</x:v>
      </x:c>
      <x:c r="L86" s="13" t="n">
        <x:v>0.000981652580997238</x:v>
      </x:c>
      <x:c r="M86" s="13" t="n">
        <x:v>3707.520423736889</x:v>
      </x:c>
      <x:c r="N86" s="13" t="n">
        <x:v>3707.4978780038655</x:v>
      </x:c>
      <x:c r="O86" s="10" t="str">
        <x:v>completed</x:v>
      </x:c>
      <x:c r="P86" s="11" t="n">
        <x:v>5000</x:v>
      </x:c>
      <x:c r="Q86" s="11" t="n">
        <x:v>10000</x:v>
      </x:c>
      <x:c r="R86" s="11" t="n">
        <x:v>1</x:v>
      </x:c>
      <x:c r="S86" s="10" t="str">
        <x:v>beta</x:v>
      </x:c>
      <x:c r="T86" s="13" t="n">
        <x:v>5.6</x:v>
      </x:c>
      <x:c r="U86" s="13" t="n">
        <x:v>5.600846290588379</x:v>
      </x:c>
      <x:c r="V86" s="13" t="n">
        <x:v>0.0008462905883792615</x:v>
      </x:c>
      <x:c r="W86" s="13" t="str">
        <x:v>tau0</x:v>
      </x:c>
      <x:c r="X86" s="13" t="n">
        <x:v>1.31</x:v>
      </x:c>
      <x:c r="Y86" s="13" t="n">
        <x:v>1.2950060367584229</x:v>
      </x:c>
      <x:c r="Z86" s="13" t="n">
        <x:v>0.014993963241577202</x:v>
      </x:c>
      <x:c r="AA86" s="10" t="str">
        <x:v>nicholson_three_method_inverse_20260822_064851_seed_20260901</x:v>
      </x:c>
    </x:row>
    <x:row r="87">
      <x:c r="A87" s="10" t="str">
        <x:v>Nicholson</x:v>
      </x:c>
      <x:c r="B87" s="11" t="n">
        <x:v>20260901</x:v>
      </x:c>
      <x:c r="C87" s="11" t="n">
        <x:v>5</x:v>
      </x:c>
      <x:c r="D87" s="12" t="n">
        <x:v>0.005</x:v>
      </x:c>
      <x:c r="E87" s="11" t="n">
        <x:v>1</x:v>
      </x:c>
      <x:c r="F87" s="11" t="n">
        <x:v>20</x:v>
      </x:c>
      <x:c r="G87" s="11" t="n">
        <x:v>4</x:v>
      </x:c>
      <x:c r="H87" s="11" t="n">
        <x:v>80</x:v>
      </x:c>
      <x:c r="I87" s="13" t="n">
        <x:v>0.004039977023967248</x:v>
      </x:c>
      <x:c r="J87" s="13" t="n">
        <x:v>0.0024297467932231725</x:v>
      </x:c>
      <x:c r="K87" s="13" t="n">
        <x:v>0.00009066050993241996</x:v>
      </x:c>
      <x:c r="L87" s="13" t="n">
        <x:v>0.0009359393115208121</x:v>
      </x:c>
      <x:c r="M87" s="13" t="n">
        <x:v>3572.8528231512755</x:v>
      </x:c>
      <x:c r="N87" s="13" t="n">
        <x:v>3572.1459809080698</x:v>
      </x:c>
      <x:c r="O87" s="10" t="str">
        <x:v>completed</x:v>
      </x:c>
      <x:c r="P87" s="11" t="n">
        <x:v>5000</x:v>
      </x:c>
      <x:c r="Q87" s="11" t="n">
        <x:v>10000</x:v>
      </x:c>
      <x:c r="R87" s="11" t="n">
        <x:v>4</x:v>
      </x:c>
      <x:c r="S87" s="10" t="str">
        <x:v>beta</x:v>
      </x:c>
      <x:c r="T87" s="13" t="n">
        <x:v>5.2</x:v>
      </x:c>
      <x:c r="U87" s="13" t="n">
        <x:v>5.200239181518555</x:v>
      </x:c>
      <x:c r="V87" s="13" t="n">
        <x:v>0.00023918151855450986</x:v>
      </x:c>
      <x:c r="W87" s="13" t="str">
        <x:v>tau0</x:v>
      </x:c>
      <x:c r="X87" s="13" t="n">
        <x:v>0.8300000000000001</x:v>
      </x:c>
      <x:c r="Y87" s="13" t="n">
        <x:v>0.8334278464317322</x:v>
      </x:c>
      <x:c r="Z87" s="13" t="n">
        <x:v>0.0034278464317321067</x:v>
      </x:c>
      <x:c r="AA87" s="10" t="str">
        <x:v>nicholson_three_method_inverse_20260822_064851_seed_20260901</x:v>
      </x:c>
    </x:row>
    <x:row r="88">
      <x:c r="A88" s="10" t="str">
        <x:v>Nicholson</x:v>
      </x:c>
      <x:c r="B88" s="11" t="n">
        <x:v>20260901</x:v>
      </x:c>
      <x:c r="C88" s="11" t="n">
        <x:v>6</x:v>
      </x:c>
      <x:c r="D88" s="12" t="n">
        <x:v>0.005</x:v>
      </x:c>
      <x:c r="E88" s="11" t="n">
        <x:v>1</x:v>
      </x:c>
      <x:c r="F88" s="11" t="n">
        <x:v>20</x:v>
      </x:c>
      <x:c r="G88" s="11" t="n">
        <x:v>4</x:v>
      </x:c>
      <x:c r="H88" s="11" t="n">
        <x:v>80</x:v>
      </x:c>
      <x:c r="I88" s="13" t="n">
        <x:v>0.011555759246558548</x:v>
      </x:c>
      <x:c r="J88" s="13" t="n">
        <x:v>0.007403961099483155</x:v>
      </x:c>
      <x:c r="K88" s="13" t="n">
        <x:v>0.0004399338362932215</x:v>
      </x:c>
      <x:c r="L88" s="13" t="n">
        <x:v>0.0008024943614342732</x:v>
      </x:c>
      <x:c r="M88" s="13" t="n">
        <x:v>7506.977672147099</x:v>
      </x:c>
      <x:c r="N88" s="13" t="n">
        <x:v>7506.937344943173</x:v>
      </x:c>
      <x:c r="O88" s="10" t="str">
        <x:v>completed</x:v>
      </x:c>
      <x:c r="P88" s="11" t="n">
        <x:v>5000</x:v>
      </x:c>
      <x:c r="Q88" s="11" t="n">
        <x:v>10000</x:v>
      </x:c>
      <x:c r="R88" s="11" t="n">
        <x:v>3</x:v>
      </x:c>
      <x:c r="S88" s="10" t="str">
        <x:v>beta</x:v>
      </x:c>
      <x:c r="T88" s="13" t="n">
        <x:v>6.4</x:v>
      </x:c>
      <x:c r="U88" s="13" t="n">
        <x:v>6.403715133666992</x:v>
      </x:c>
      <x:c r="V88" s="13" t="n">
        <x:v>0.0037151336669918322</x:v>
      </x:c>
      <x:c r="W88" s="13" t="str">
        <x:v>tau0</x:v>
      </x:c>
      <x:c r="X88" s="13" t="n">
        <x:v>0.95</x:v>
      </x:c>
      <x:c r="Y88" s="13" t="n">
        <x:v>0.9402104616165161</x:v>
      </x:c>
      <x:c r="Z88" s="13" t="n">
        <x:v>0.009789538383483842</x:v>
      </x:c>
      <x:c r="AA88" s="10" t="str">
        <x:v>nicholson_three_method_inverse_20260822_064851_seed_20260901</x:v>
      </x:c>
    </x:row>
    <x:row r="89">
      <x:c r="A89" s="10" t="str">
        <x:v>Nicholson</x:v>
      </x:c>
      <x:c r="B89" s="11" t="n">
        <x:v>20260901</x:v>
      </x:c>
      <x:c r="C89" s="11" t="n">
        <x:v>7</x:v>
      </x:c>
      <x:c r="D89" s="12" t="n">
        <x:v>0.005</x:v>
      </x:c>
      <x:c r="E89" s="11" t="n">
        <x:v>1</x:v>
      </x:c>
      <x:c r="F89" s="11" t="n">
        <x:v>20</x:v>
      </x:c>
      <x:c r="G89" s="11" t="n">
        <x:v>4</x:v>
      </x:c>
      <x:c r="H89" s="11" t="n">
        <x:v>80</x:v>
      </x:c>
      <x:c r="I89" s="13" t="n">
        <x:v>0.02804434315926522</x:v>
      </x:c>
      <x:c r="J89" s="13" t="n">
        <x:v>0.01694625463695808</x:v>
      </x:c>
      <x:c r="K89" s="13" t="n">
        <x:v>0.0007938945884544393</x:v>
      </x:c>
      <x:c r="L89" s="13" t="n">
        <x:v>0.0012193759066445808</x:v>
      </x:c>
      <x:c r="M89" s="13" t="n">
        <x:v>9981.168717798777</x:v>
      </x:c>
      <x:c r="N89" s="13" t="n">
        <x:v>9981.127588872798</x:v>
      </x:c>
      <x:c r="O89" s="10" t="str">
        <x:v>completed</x:v>
      </x:c>
      <x:c r="P89" s="11" t="n">
        <x:v>5000</x:v>
      </x:c>
      <x:c r="Q89" s="11" t="n">
        <x:v>10000</x:v>
      </x:c>
      <x:c r="R89" s="11" t="n">
        <x:v>0</x:v>
      </x:c>
      <x:c r="S89" s="10" t="str">
        <x:v>beta</x:v>
      </x:c>
      <x:c r="T89" s="13" t="n">
        <x:v>3.2</x:v>
      </x:c>
      <x:c r="U89" s="13" t="n">
        <x:v>3.2028753757476807</x:v>
      </x:c>
      <x:c r="V89" s="13" t="n">
        <x:v>0.0028753757476804864</x:v>
      </x:c>
      <x:c r="W89" s="13" t="str">
        <x:v>tau0</x:v>
      </x:c>
      <x:c r="X89" s="13" t="n">
        <x:v>1.25</x:v>
      </x:c>
      <x:c r="Y89" s="13" t="n">
        <x:v>1.2262074947357178</x:v>
      </x:c>
      <x:c r="Z89" s="13" t="n">
        <x:v>0.023792505264282227</x:v>
      </x:c>
      <x:c r="AA89" s="10" t="str">
        <x:v>nicholson_three_method_inverse_20260822_064851_seed_20260901</x:v>
      </x:c>
    </x:row>
    <x:row r="90">
      <x:c r="A90" s="10" t="str">
        <x:v>Nicholson</x:v>
      </x:c>
      <x:c r="B90" s="11" t="n">
        <x:v>20260901</x:v>
      </x:c>
      <x:c r="C90" s="11" t="n">
        <x:v>8</x:v>
      </x:c>
      <x:c r="D90" s="12" t="n">
        <x:v>0.005</x:v>
      </x:c>
      <x:c r="E90" s="11" t="n">
        <x:v>1</x:v>
      </x:c>
      <x:c r="F90" s="11" t="n">
        <x:v>20</x:v>
      </x:c>
      <x:c r="G90" s="11" t="n">
        <x:v>4</x:v>
      </x:c>
      <x:c r="H90" s="11" t="n">
        <x:v>80</x:v>
      </x:c>
      <x:c r="I90" s="13" t="n">
        <x:v>0.040306715216968624</x:v>
      </x:c>
      <x:c r="J90" s="13" t="n">
        <x:v>0.024300732308289812</x:v>
      </x:c>
      <x:c r="K90" s="13" t="n">
        <x:v>0.0008054559461499766</x:v>
      </x:c>
      <x:c r="L90" s="13" t="n">
        <x:v>0.0013041007694012975</x:v>
      </x:c>
      <x:c r="M90" s="13" t="n">
        <x:v>5403.734945537057</x:v>
      </x:c>
      <x:c r="N90" s="13" t="n">
        <x:v>5403.6929987580515</x:v>
      </x:c>
      <x:c r="O90" s="10" t="str">
        <x:v>completed</x:v>
      </x:c>
      <x:c r="P90" s="11" t="n">
        <x:v>5000</x:v>
      </x:c>
      <x:c r="Q90" s="11" t="n">
        <x:v>10000</x:v>
      </x:c>
      <x:c r="R90" s="11" t="n">
        <x:v>0</x:v>
      </x:c>
      <x:c r="S90" s="10" t="str">
        <x:v>beta</x:v>
      </x:c>
      <x:c r="T90" s="13" t="n">
        <x:v>4.8</x:v>
      </x:c>
      <x:c r="U90" s="13" t="n">
        <x:v>4.796597480773926</x:v>
      </x:c>
      <x:c r="V90" s="13" t="n">
        <x:v>0.003402519226074041</x:v>
      </x:c>
      <x:c r="W90" s="13" t="str">
        <x:v>tau0</x:v>
      </x:c>
      <x:c r="X90" s="13" t="n">
        <x:v>1.13</x:v>
      </x:c>
      <x:c r="Y90" s="13" t="n">
        <x:v>1.0958024263381958</x:v>
      </x:c>
      <x:c r="Z90" s="13" t="n">
        <x:v>0.03419757366180409</x:v>
      </x:c>
      <x:c r="AA90" s="10" t="str">
        <x:v>nicholson_three_method_inverse_20260822_064851_seed_20260901</x:v>
      </x:c>
    </x:row>
    <x:row r="91">
      <x:c r="A91" s="10" t="str">
        <x:v>Nicholson</x:v>
      </x:c>
      <x:c r="B91" s="11" t="n">
        <x:v>20260901</x:v>
      </x:c>
      <x:c r="C91" s="11" t="n">
        <x:v>9</x:v>
      </x:c>
      <x:c r="D91" s="12" t="n">
        <x:v>0.005</x:v>
      </x:c>
      <x:c r="E91" s="11" t="n">
        <x:v>1</x:v>
      </x:c>
      <x:c r="F91" s="11" t="n">
        <x:v>20</x:v>
      </x:c>
      <x:c r="G91" s="11" t="n">
        <x:v>4</x:v>
      </x:c>
      <x:c r="H91" s="11" t="n">
        <x:v>80</x:v>
      </x:c>
      <x:c r="I91" s="13" t="n">
        <x:v>0.014698549814743481</x:v>
      </x:c>
      <x:c r="J91" s="13" t="n">
        <x:v>0.008840181270480498</x:v>
      </x:c>
      <x:c r="K91" s="13" t="n">
        <x:v>0.00020894888161984926</x:v>
      </x:c>
      <x:c r="L91" s="13" t="n">
        <x:v>0.0012393779023156264</x:v>
      </x:c>
      <x:c r="M91" s="13" t="n">
        <x:v>3243.400497846771</x:v>
      </x:c>
      <x:c r="N91" s="13" t="n">
        <x:v>3243.3603636547923</x:v>
      </x:c>
      <x:c r="O91" s="10" t="str">
        <x:v>completed</x:v>
      </x:c>
      <x:c r="P91" s="11" t="n">
        <x:v>5000</x:v>
      </x:c>
      <x:c r="Q91" s="11" t="n">
        <x:v>10000</x:v>
      </x:c>
      <x:c r="R91" s="11" t="n">
        <x:v>2</x:v>
      </x:c>
      <x:c r="S91" s="10" t="str">
        <x:v>beta</x:v>
      </x:c>
      <x:c r="T91" s="13" t="n">
        <x:v>4</x:v>
      </x:c>
      <x:c r="U91" s="13" t="n">
        <x:v>4.0008721351623535</x:v>
      </x:c>
      <x:c r="V91" s="13" t="n">
        <x:v>0.0008721351623535156</x:v>
      </x:c>
      <x:c r="W91" s="13" t="str">
        <x:v>tau0</x:v>
      </x:c>
      <x:c r="X91" s="13" t="n">
        <x:v>1.01</x:v>
      </x:c>
      <x:c r="Y91" s="13" t="n">
        <x:v>0.9975285530090332</x:v>
      </x:c>
      <x:c r="Z91" s="13" t="n">
        <x:v>0.012471446990966806</x:v>
      </x:c>
      <x:c r="AA91" s="10" t="str">
        <x:v>nicholson_three_method_inverse_20260822_064851_seed_20260901</x:v>
      </x:c>
    </x:row>
    <x:row r="92">
      <x:c r="A92" s="10" t="str">
        <x:v>Nicholson</x:v>
      </x:c>
      <x:c r="B92" s="11" t="n">
        <x:v>20260901</x:v>
      </x:c>
      <x:c r="C92" s="11" t="n">
        <x:v>0</x:v>
      </x:c>
      <x:c r="D92" s="12" t="n">
        <x:v>0.01</x:v>
      </x:c>
      <x:c r="E92" s="11" t="n">
        <x:v>1</x:v>
      </x:c>
      <x:c r="F92" s="11" t="n">
        <x:v>20</x:v>
      </x:c>
      <x:c r="G92" s="11" t="n">
        <x:v>4</x:v>
      </x:c>
      <x:c r="H92" s="11" t="n">
        <x:v>80</x:v>
      </x:c>
      <x:c r="I92" s="13" t="n">
        <x:v>0.14902920976571501</x:v>
      </x:c>
      <x:c r="J92" s="13" t="n">
        <x:v>0.08964396216843261</x:v>
      </x:c>
      <x:c r="K92" s="13" t="n">
        <x:v>0.001601821467829916</x:v>
      </x:c>
      <x:c r="L92" s="13" t="n">
        <x:v>0.002243958069396311</x:v>
      </x:c>
      <x:c r="M92" s="13" t="n">
        <x:v>12372.505787726026</x:v>
      </x:c>
      <x:c r="N92" s="13" t="n">
        <x:v>12372.484296001028</x:v>
      </x:c>
      <x:c r="O92" s="10" t="str">
        <x:v>completed</x:v>
      </x:c>
      <x:c r="P92" s="11" t="n">
        <x:v>5000</x:v>
      </x:c>
      <x:c r="Q92" s="11" t="n">
        <x:v>10000</x:v>
      </x:c>
      <x:c r="R92" s="11" t="n">
        <x:v>3</x:v>
      </x:c>
      <x:c r="S92" s="10" t="str">
        <x:v>beta</x:v>
      </x:c>
      <x:c r="T92" s="13" t="n">
        <x:v>4.4</x:v>
      </x:c>
      <x:c r="U92" s="13" t="n">
        <x:v>4.4091081619262695</x:v>
      </x:c>
      <x:c r="V92" s="13" t="n">
        <x:v>0.009108161926269176</x:v>
      </x:c>
      <x:c r="W92" s="13" t="str">
        <x:v>tau0</x:v>
      </x:c>
      <x:c r="X92" s="13" t="n">
        <x:v>1.19</x:v>
      </x:c>
      <x:c r="Y92" s="13" t="n">
        <x:v>1.063551902770996</x:v>
      </x:c>
      <x:c r="Z92" s="13" t="n">
        <x:v>0.12644809722900385</x:v>
      </x:c>
      <x:c r="AA92" s="10" t="str">
        <x:v>nicholson_three_method_inverse_20260822_064851_seed_20260901</x:v>
      </x:c>
    </x:row>
    <x:row r="93">
      <x:c r="A93" s="10" t="str">
        <x:v>Nicholson</x:v>
      </x:c>
      <x:c r="B93" s="11" t="n">
        <x:v>20260901</x:v>
      </x:c>
      <x:c r="C93" s="11" t="n">
        <x:v>1</x:v>
      </x:c>
      <x:c r="D93" s="12" t="n">
        <x:v>0.01</x:v>
      </x:c>
      <x:c r="E93" s="11" t="n">
        <x:v>1</x:v>
      </x:c>
      <x:c r="F93" s="11" t="n">
        <x:v>20</x:v>
      </x:c>
      <x:c r="G93" s="11" t="n">
        <x:v>4</x:v>
      </x:c>
      <x:c r="H93" s="11" t="n">
        <x:v>80</x:v>
      </x:c>
      <x:c r="I93" s="13" t="n">
        <x:v>0.022329322399161453</x:v>
      </x:c>
      <x:c r="J93" s="13" t="n">
        <x:v>0.01373172496963718</x:v>
      </x:c>
      <x:c r="K93" s="13" t="n">
        <x:v>0.0013757186941989667</x:v>
      </x:c>
      <x:c r="L93" s="13" t="n">
        <x:v>0.0020350092863521295</x:v>
      </x:c>
      <x:c r="M93" s="13" t="n">
        <x:v>5291.779422360938</x:v>
      </x:c>
      <x:c r="N93" s="13" t="n">
        <x:v>5291.744517315179</x:v>
      </x:c>
      <x:c r="O93" s="10" t="str">
        <x:v>completed</x:v>
      </x:c>
      <x:c r="P93" s="11" t="n">
        <x:v>5000</x:v>
      </x:c>
      <x:c r="Q93" s="11" t="n">
        <x:v>10000</x:v>
      </x:c>
      <x:c r="R93" s="11" t="n">
        <x:v>4</x:v>
      </x:c>
      <x:c r="S93" s="10" t="str">
        <x:v>beta</x:v>
      </x:c>
      <x:c r="T93" s="13" t="n">
        <x:v>6.8</x:v>
      </x:c>
      <x:c r="U93" s="13" t="n">
        <x:v>6.795693397521973</x:v>
      </x:c>
      <x:c r="V93" s="13" t="n">
        <x:v>0.004306602478027166</x:v>
      </x:c>
      <x:c r="W93" s="13" t="str">
        <x:v>tau0</x:v>
      </x:c>
      <x:c r="X93" s="13" t="n">
        <x:v>1.3699999999999999</x:v>
      </x:c>
      <x:c r="Y93" s="13" t="n">
        <x:v>1.3889360427856445</x:v>
      </x:c>
      <x:c r="Z93" s="13" t="n">
        <x:v>0.018936042785644647</x:v>
      </x:c>
      <x:c r="AA93" s="10" t="str">
        <x:v>nicholson_three_method_inverse_20260822_064851_seed_20260901</x:v>
      </x:c>
    </x:row>
    <x:row r="94">
      <x:c r="A94" s="10" t="str">
        <x:v>Nicholson</x:v>
      </x:c>
      <x:c r="B94" s="11" t="n">
        <x:v>20260901</x:v>
      </x:c>
      <x:c r="C94" s="11" t="n">
        <x:v>2</x:v>
      </x:c>
      <x:c r="D94" s="12" t="n">
        <x:v>0.01</x:v>
      </x:c>
      <x:c r="E94" s="11" t="n">
        <x:v>1</x:v>
      </x:c>
      <x:c r="F94" s="11" t="n">
        <x:v>20</x:v>
      </x:c>
      <x:c r="G94" s="11" t="n">
        <x:v>4</x:v>
      </x:c>
      <x:c r="H94" s="11" t="n">
        <x:v>80</x:v>
      </x:c>
      <x:c r="I94" s="13" t="n">
        <x:v>0.0011568038133587166</x:v>
      </x:c>
      <x:c r="J94" s="13" t="n">
        <x:v>0.0034409979386566944</x:v>
      </x:c>
      <x:c r="K94" s="13" t="n">
        <x:v>0.00047342199487463473</x:v>
      </x:c>
      <x:c r="L94" s="13" t="n">
        <x:v>0.0017409548650936832</x:v>
      </x:c>
      <x:c r="M94" s="13" t="n">
        <x:v>18759.78180613788</x:v>
      </x:c>
      <x:c r="N94" s="13" t="n">
        <x:v>18759.422702332027</x:v>
      </x:c>
      <x:c r="O94" s="10" t="str">
        <x:v>completed</x:v>
      </x:c>
      <x:c r="P94" s="11" t="n">
        <x:v>5000</x:v>
      </x:c>
      <x:c r="Q94" s="11" t="n">
        <x:v>10000</x:v>
      </x:c>
      <x:c r="R94" s="11" t="n">
        <x:v>1</x:v>
      </x:c>
      <x:c r="S94" s="10" t="str">
        <x:v>beta</x:v>
      </x:c>
      <x:c r="T94" s="13" t="n">
        <x:v>6</x:v>
      </x:c>
      <x:c r="U94" s="13" t="n">
        <x:v>5.995179176330566</x:v>
      </x:c>
      <x:c r="V94" s="13" t="n">
        <x:v>0.004820823669433594</x:v>
      </x:c>
      <x:c r="W94" s="13" t="str">
        <x:v>tau0</x:v>
      </x:c>
      <x:c r="X94" s="13" t="n">
        <x:v>0.89</x:v>
      </x:c>
      <x:c r="Y94" s="13" t="n">
        <x:v>0.8893362283706665</x:v>
      </x:c>
      <x:c r="Z94" s="13" t="n">
        <x:v>0.0006637716293335094</x:v>
      </x:c>
      <x:c r="AA94" s="10" t="str">
        <x:v>nicholson_three_method_inverse_20260822_064851_seed_20260901</x:v>
      </x:c>
    </x:row>
    <x:row r="95">
      <x:c r="A95" s="10" t="str">
        <x:v>Nicholson</x:v>
      </x:c>
      <x:c r="B95" s="11" t="n">
        <x:v>20260901</x:v>
      </x:c>
      <x:c r="C95" s="11" t="n">
        <x:v>3</x:v>
      </x:c>
      <x:c r="D95" s="12" t="n">
        <x:v>0.01</x:v>
      </x:c>
      <x:c r="E95" s="11" t="n">
        <x:v>1</x:v>
      </x:c>
      <x:c r="F95" s="11" t="n">
        <x:v>20</x:v>
      </x:c>
      <x:c r="G95" s="11" t="n">
        <x:v>4</x:v>
      </x:c>
      <x:c r="H95" s="11" t="n">
        <x:v>80</x:v>
      </x:c>
      <x:c r="I95" s="13" t="n">
        <x:v>0.053802944895342715</x:v>
      </x:c>
      <x:c r="J95" s="13" t="n">
        <x:v>0.03292767768479726</x:v>
      </x:c>
      <x:c r="K95" s="13" t="n">
        <x:v>0.0020101041679972446</x:v>
      </x:c>
      <x:c r="L95" s="13" t="n">
        <x:v>0.003322522246296663</x:v>
      </x:c>
      <x:c r="M95" s="13" t="n">
        <x:v>14744.444134160876</x:v>
      </x:c>
      <x:c r="N95" s="13" t="n">
        <x:v>14744.032659529243</x:v>
      </x:c>
      <x:c r="O95" s="10" t="str">
        <x:v>completed</x:v>
      </x:c>
      <x:c r="P95" s="11" t="n">
        <x:v>5000</x:v>
      </x:c>
      <x:c r="Q95" s="11" t="n">
        <x:v>10000</x:v>
      </x:c>
      <x:c r="R95" s="11" t="n">
        <x:v>4</x:v>
      </x:c>
      <x:c r="S95" s="10" t="str">
        <x:v>beta</x:v>
      </x:c>
      <x:c r="T95" s="13" t="n">
        <x:v>3.6</x:v>
      </x:c>
      <x:c r="U95" s="13" t="n">
        <x:v>3.609283208847046</x:v>
      </x:c>
      <x:c r="V95" s="13" t="n">
        <x:v>0.00928320884704581</x:v>
      </x:c>
      <x:c r="W95" s="13" t="str">
        <x:v>tau0</x:v>
      </x:c>
      <x:c r="X95" s="13" t="n">
        <x:v>1.07</x:v>
      </x:c>
      <x:c r="Y95" s="13" t="n">
        <x:v>1.0243679285049438</x:v>
      </x:c>
      <x:c r="Z95" s="13" t="n">
        <x:v>0.045632071495056215</x:v>
      </x:c>
      <x:c r="AA95" s="10" t="str">
        <x:v>nicholson_three_method_inverse_20260822_064851_seed_20260901</x:v>
      </x:c>
    </x:row>
    <x:row r="96">
      <x:c r="A96" s="10" t="str">
        <x:v>Nicholson</x:v>
      </x:c>
      <x:c r="B96" s="11" t="n">
        <x:v>20260901</x:v>
      </x:c>
      <x:c r="C96" s="11" t="n">
        <x:v>4</x:v>
      </x:c>
      <x:c r="D96" s="12" t="n">
        <x:v>0.01</x:v>
      </x:c>
      <x:c r="E96" s="11" t="n">
        <x:v>1</x:v>
      </x:c>
      <x:c r="F96" s="11" t="n">
        <x:v>20</x:v>
      </x:c>
      <x:c r="G96" s="11" t="n">
        <x:v>4</x:v>
      </x:c>
      <x:c r="H96" s="11" t="n">
        <x:v>80</x:v>
      </x:c>
      <x:c r="I96" s="13" t="n">
        <x:v>0.02609879854723482</x:v>
      </x:c>
      <x:c r="J96" s="13" t="n">
        <x:v>0.015695794445218944</x:v>
      </x:c>
      <x:c r="K96" s="13" t="n">
        <x:v>0.0006954659459724741</x:v>
      </x:c>
      <x:c r="L96" s="13" t="n">
        <x:v>0.0020180296814251895</x:v>
      </x:c>
      <x:c r="M96" s="13" t="n">
        <x:v>3754.2232536589727</x:v>
      </x:c>
      <x:c r="N96" s="13" t="n">
        <x:v>3754.1795195448212</x:v>
      </x:c>
      <x:c r="O96" s="10" t="str">
        <x:v>completed</x:v>
      </x:c>
      <x:c r="P96" s="11" t="n">
        <x:v>5000</x:v>
      </x:c>
      <x:c r="Q96" s="11" t="n">
        <x:v>10000</x:v>
      </x:c>
      <x:c r="R96" s="11" t="n">
        <x:v>4</x:v>
      </x:c>
      <x:c r="S96" s="10" t="str">
        <x:v>beta</x:v>
      </x:c>
      <x:c r="T96" s="13" t="n">
        <x:v>5.6</x:v>
      </x:c>
      <x:c r="U96" s="13" t="n">
        <x:v>5.6015305519104</x:v>
      </x:c>
      <x:c r="V96" s="13" t="n">
        <x:v>0.001530551910400746</x:v>
      </x:c>
      <x:c r="W96" s="13" t="str">
        <x:v>tau0</x:v>
      </x:c>
      <x:c r="X96" s="13" t="n">
        <x:v>1.31</x:v>
      </x:c>
      <x:c r="Y96" s="13" t="n">
        <x:v>1.287855625152588</x:v>
      </x:c>
      <x:c r="Z96" s="13" t="n">
        <x:v>0.022144374847412163</x:v>
      </x:c>
      <x:c r="AA96" s="10" t="str">
        <x:v>nicholson_three_method_inverse_20260822_064851_seed_20260901</x:v>
      </x:c>
    </x:row>
    <x:row r="97">
      <x:c r="A97" s="10" t="str">
        <x:v>Nicholson</x:v>
      </x:c>
      <x:c r="B97" s="11" t="n">
        <x:v>20260901</x:v>
      </x:c>
      <x:c r="C97" s="11" t="n">
        <x:v>5</x:v>
      </x:c>
      <x:c r="D97" s="12" t="n">
        <x:v>0.01</x:v>
      </x:c>
      <x:c r="E97" s="11" t="n">
        <x:v>1</x:v>
      </x:c>
      <x:c r="F97" s="11" t="n">
        <x:v>20</x:v>
      </x:c>
      <x:c r="G97" s="11" t="n">
        <x:v>4</x:v>
      </x:c>
      <x:c r="H97" s="11" t="n">
        <x:v>80</x:v>
      </x:c>
      <x:c r="I97" s="13" t="n">
        <x:v>0.018149397218028763</x:v>
      </x:c>
      <x:c r="J97" s="13" t="n">
        <x:v>0.010924384306621711</x:v>
      </x:c>
      <x:c r="K97" s="13" t="n">
        <x:v>0.0004187308463448118</x:v>
      </x:c>
      <x:c r="L97" s="13" t="n">
        <x:v>0.0020299107356491625</x:v>
      </x:c>
      <x:c r="M97" s="13" t="n">
        <x:v>9476.015977222938</x:v>
      </x:c>
      <x:c r="N97" s="13" t="n">
        <x:v>9475.408015812747</x:v>
      </x:c>
      <x:c r="O97" s="10" t="str">
        <x:v>completed</x:v>
      </x:c>
      <x:c r="P97" s="11" t="n">
        <x:v>5000</x:v>
      </x:c>
      <x:c r="Q97" s="11" t="n">
        <x:v>10000</x:v>
      </x:c>
      <x:c r="R97" s="11" t="n">
        <x:v>1</x:v>
      </x:c>
      <x:c r="S97" s="10" t="str">
        <x:v>beta</x:v>
      </x:c>
      <x:c r="T97" s="13" t="n">
        <x:v>5.2</x:v>
      </x:c>
      <x:c r="U97" s="13" t="n">
        <x:v>5.201245307922363</x:v>
      </x:c>
      <x:c r="V97" s="13" t="n">
        <x:v>0.0012453079223631036</x:v>
      </x:c>
      <x:c r="W97" s="13" t="str">
        <x:v>tau0</x:v>
      </x:c>
      <x:c r="X97" s="13" t="n">
        <x:v>0.8300000000000001</x:v>
      </x:c>
      <x:c r="Y97" s="13" t="n">
        <x:v>0.8453991413116455</x:v>
      </x:c>
      <x:c r="Z97" s="13" t="n">
        <x:v>0.015399141311645437</x:v>
      </x:c>
      <x:c r="AA97" s="10" t="str">
        <x:v>nicholson_three_method_inverse_20260822_064851_seed_20260901</x:v>
      </x:c>
    </x:row>
    <x:row r="98">
      <x:c r="A98" s="10" t="str">
        <x:v>Nicholson</x:v>
      </x:c>
      <x:c r="B98" s="11" t="n">
        <x:v>20260901</x:v>
      </x:c>
      <x:c r="C98" s="11" t="n">
        <x:v>6</x:v>
      </x:c>
      <x:c r="D98" s="12" t="n">
        <x:v>0.01</x:v>
      </x:c>
      <x:c r="E98" s="11" t="n">
        <x:v>1</x:v>
      </x:c>
      <x:c r="F98" s="11" t="n">
        <x:v>20</x:v>
      </x:c>
      <x:c r="G98" s="11" t="n">
        <x:v>4</x:v>
      </x:c>
      <x:c r="H98" s="11" t="n">
        <x:v>80</x:v>
      </x:c>
      <x:c r="I98" s="13" t="n">
        <x:v>0.004649667259365464</x:v>
      </x:c>
      <x:c r="J98" s="13" t="n">
        <x:v>0.003691577377225056</x:v>
      </x:c>
      <x:c r="K98" s="13" t="n">
        <x:v>0.00038706747684232534</x:v>
      </x:c>
      <x:c r="L98" s="13" t="n">
        <x:v>0.0015599722078284179</x:v>
      </x:c>
      <x:c r="M98" s="13" t="n">
        <x:v>5578.208623262122</x:v>
      </x:c>
      <x:c r="N98" s="13" t="n">
        <x:v>5578.154824316967</x:v>
      </x:c>
      <x:c r="O98" s="10" t="str">
        <x:v>completed</x:v>
      </x:c>
      <x:c r="P98" s="11" t="n">
        <x:v>5000</x:v>
      </x:c>
      <x:c r="Q98" s="11" t="n">
        <x:v>10000</x:v>
      </x:c>
      <x:c r="R98" s="11" t="n">
        <x:v>3</x:v>
      </x:c>
      <x:c r="S98" s="10" t="str">
        <x:v>beta</x:v>
      </x:c>
      <x:c r="T98" s="13" t="n">
        <x:v>6.4</x:v>
      </x:c>
      <x:c r="U98" s="13" t="n">
        <x:v>6.403458118438721</x:v>
      </x:c>
      <x:c r="V98" s="13" t="n">
        <x:v>0.003458118438720348</x:v>
      </x:c>
      <x:c r="W98" s="13" t="str">
        <x:v>tau0</x:v>
      </x:c>
      <x:c r="X98" s="13" t="n">
        <x:v>0.95</x:v>
      </x:c>
      <x:c r="Y98" s="13" t="n">
        <x:v>0.9539111256599426</x:v>
      </x:c>
      <x:c r="Z98" s="13" t="n">
        <x:v>0.003911125659942671</x:v>
      </x:c>
      <x:c r="AA98" s="10" t="str">
        <x:v>nicholson_three_method_inverse_20260822_064851_seed_20260901</x:v>
      </x:c>
    </x:row>
    <x:row r="99">
      <x:c r="A99" s="10" t="str">
        <x:v>Nicholson</x:v>
      </x:c>
      <x:c r="B99" s="11" t="n">
        <x:v>20260901</x:v>
      </x:c>
      <x:c r="C99" s="11" t="n">
        <x:v>7</x:v>
      </x:c>
      <x:c r="D99" s="12" t="n">
        <x:v>0.01</x:v>
      </x:c>
      <x:c r="E99" s="11" t="n">
        <x:v>1</x:v>
      </x:c>
      <x:c r="F99" s="11" t="n">
        <x:v>20</x:v>
      </x:c>
      <x:c r="G99" s="11" t="n">
        <x:v>4</x:v>
      </x:c>
      <x:c r="H99" s="11" t="n">
        <x:v>80</x:v>
      </x:c>
      <x:c r="I99" s="13" t="n">
        <x:v>0.020213011348545674</x:v>
      </x:c>
      <x:c r="J99" s="13" t="n">
        <x:v>0.012813305514612239</x:v>
      </x:c>
      <x:c r="K99" s="13" t="n">
        <x:v>0.0015671744369160215</x:v>
      </x:c>
      <x:c r="L99" s="13" t="n">
        <x:v>0.002677834798710016</x:v>
      </x:c>
      <x:c r="M99" s="13" t="n">
        <x:v>6993.713331529871</x:v>
      </x:c>
      <x:c r="N99" s="13" t="n">
        <x:v>6993.674427589867</x:v>
      </x:c>
      <x:c r="O99" s="10" t="str">
        <x:v>completed</x:v>
      </x:c>
      <x:c r="P99" s="11" t="n">
        <x:v>5000</x:v>
      </x:c>
      <x:c r="Q99" s="11" t="n">
        <x:v>10000</x:v>
      </x:c>
      <x:c r="R99" s="11" t="n">
        <x:v>0</x:v>
      </x:c>
      <x:c r="S99" s="10" t="str">
        <x:v>beta</x:v>
      </x:c>
      <x:c r="T99" s="13" t="n">
        <x:v>3.2</x:v>
      </x:c>
      <x:c r="U99" s="13" t="n">
        <x:v>3.2059144973754883</x:v>
      </x:c>
      <x:c r="V99" s="13" t="n">
        <x:v>0.005914497375488104</x:v>
      </x:c>
      <x:c r="W99" s="13" t="str">
        <x:v>tau0</x:v>
      </x:c>
      <x:c r="X99" s="13" t="n">
        <x:v>1.25</x:v>
      </x:c>
      <x:c r="Y99" s="13" t="n">
        <x:v>1.232871651649475</x:v>
      </x:c>
      <x:c r="Z99" s="13" t="n">
        <x:v>0.017128348350524902</x:v>
      </x:c>
      <x:c r="AA99" s="10" t="str">
        <x:v>nicholson_three_method_inverse_20260822_064851_seed_20260901</x:v>
      </x:c>
    </x:row>
    <x:row r="100">
      <x:c r="A100" s="10" t="str">
        <x:v>Nicholson</x:v>
      </x:c>
      <x:c r="B100" s="11" t="n">
        <x:v>20260901</x:v>
      </x:c>
      <x:c r="C100" s="11" t="n">
        <x:v>8</x:v>
      </x:c>
      <x:c r="D100" s="12" t="n">
        <x:v>0.01</x:v>
      </x:c>
      <x:c r="E100" s="11" t="n">
        <x:v>1</x:v>
      </x:c>
      <x:c r="F100" s="11" t="n">
        <x:v>20</x:v>
      </x:c>
      <x:c r="G100" s="11" t="n">
        <x:v>4</x:v>
      </x:c>
      <x:c r="H100" s="11" t="n">
        <x:v>80</x:v>
      </x:c>
      <x:c r="I100" s="13" t="n">
        <x:v>0.004940807062103646</x:v>
      </x:c>
      <x:c r="J100" s="13" t="n">
        <x:v>0.008351352150366153</x:v>
      </x:c>
      <x:c r="K100" s="13" t="n">
        <x:v>0.00152758706507776</x:v>
      </x:c>
      <x:c r="L100" s="13" t="n">
        <x:v>0.002706408725261331</x:v>
      </x:c>
      <x:c r="M100" s="13" t="n">
        <x:v>12910.131795275025</x:v>
      </x:c>
      <x:c r="N100" s="13" t="n">
        <x:v>12909.736214544158</x:v>
      </x:c>
      <x:c r="O100" s="10" t="str">
        <x:v>completed</x:v>
      </x:c>
      <x:c r="P100" s="11" t="n">
        <x:v>5000</x:v>
      </x:c>
      <x:c r="Q100" s="11" t="n">
        <x:v>10000</x:v>
      </x:c>
      <x:c r="R100" s="11" t="n">
        <x:v>2</x:v>
      </x:c>
      <x:c r="S100" s="10" t="str">
        <x:v>beta</x:v>
      </x:c>
      <x:c r="T100" s="13" t="n">
        <x:v>4.8</x:v>
      </x:c>
      <x:c r="U100" s="13" t="n">
        <x:v>4.788832187652588</x:v>
      </x:c>
      <x:c r="V100" s="13" t="n">
        <x:v>0.011167812347411932</x:v>
      </x:c>
      <x:c r="W100" s="13" t="str">
        <x:v>tau0</x:v>
      </x:c>
      <x:c r="X100" s="13" t="n">
        <x:v>1.13</x:v>
      </x:c>
      <x:c r="Y100" s="13" t="n">
        <x:v>1.1261568069458008</x:v>
      </x:c>
      <x:c r="Z100" s="13" t="n">
        <x:v>0.003843193054199112</x:v>
      </x:c>
      <x:c r="AA100" s="10" t="str">
        <x:v>nicholson_three_method_inverse_20260822_064851_seed_20260901</x:v>
      </x:c>
    </x:row>
    <x:row r="101">
      <x:c r="A101" s="10" t="str">
        <x:v>Nicholson</x:v>
      </x:c>
      <x:c r="B101" s="11" t="n">
        <x:v>20260901</x:v>
      </x:c>
      <x:c r="C101" s="11" t="n">
        <x:v>9</x:v>
      </x:c>
      <x:c r="D101" s="12" t="n">
        <x:v>0.01</x:v>
      </x:c>
      <x:c r="E101" s="11" t="n">
        <x:v>1</x:v>
      </x:c>
      <x:c r="F101" s="11" t="n">
        <x:v>20</x:v>
      </x:c>
      <x:c r="G101" s="11" t="n">
        <x:v>4</x:v>
      </x:c>
      <x:c r="H101" s="11" t="n">
        <x:v>80</x:v>
      </x:c>
      <x:c r="I101" s="13" t="n">
        <x:v>0.05942201179861256</x:v>
      </x:c>
      <x:c r="J101" s="13" t="n">
        <x:v>0.03572334861339487</x:v>
      </x:c>
      <x:c r="K101" s="13" t="n">
        <x:v>0.0007886196774274654</x:v>
      </x:c>
      <x:c r="L101" s="13" t="n">
        <x:v>0.0025586749854417225</x:v>
      </x:c>
      <x:c r="M101" s="13" t="n">
        <x:v>6271.553424931131</x:v>
      </x:c>
      <x:c r="N101" s="13" t="n">
        <x:v>6271.158644487616</x:v>
      </x:c>
      <x:c r="O101" s="10" t="str">
        <x:v>completed</x:v>
      </x:c>
      <x:c r="P101" s="11" t="n">
        <x:v>5000</x:v>
      </x:c>
      <x:c r="Q101" s="11" t="n">
        <x:v>10000</x:v>
      </x:c>
      <x:c r="R101" s="11" t="n">
        <x:v>1</x:v>
      </x:c>
      <x:c r="S101" s="10" t="str">
        <x:v>beta</x:v>
      </x:c>
      <x:c r="T101" s="13" t="n">
        <x:v>4</x:v>
      </x:c>
      <x:c r="U101" s="13" t="n">
        <x:v>4.003200531005859</x:v>
      </x:c>
      <x:c r="V101" s="13" t="n">
        <x:v>0.003200531005859375</x:v>
      </x:c>
      <x:c r="W101" s="13" t="str">
        <x:v>tau0</x:v>
      </x:c>
      <x:c r="X101" s="13" t="n">
        <x:v>1.01</x:v>
      </x:c>
      <x:c r="Y101" s="13" t="n">
        <x:v>1.060418963432312</x:v>
      </x:c>
      <x:c r="Z101" s="13" t="n">
        <x:v>0.050418963432312</x:v>
      </x:c>
      <x:c r="AA101" s="10" t="str">
        <x:v>nicholson_three_method_inverse_20260822_064851_seed_20260901</x:v>
      </x:c>
    </x:row>
    <x:row r="102">
      <x:c r="A102" s="10" t="str">
        <x:v>Nicholson</x:v>
      </x:c>
      <x:c r="B102" s="11" t="n">
        <x:v>20260901</x:v>
      </x:c>
      <x:c r="C102" s="11" t="n">
        <x:v>0</x:v>
      </x:c>
      <x:c r="D102" s="12" t="n">
        <x:v>0.02</x:v>
      </x:c>
      <x:c r="E102" s="11" t="n">
        <x:v>1</x:v>
      </x:c>
      <x:c r="F102" s="11" t="n">
        <x:v>20</x:v>
      </x:c>
      <x:c r="G102" s="11" t="n">
        <x:v>4</x:v>
      </x:c>
      <x:c r="H102" s="11" t="n">
        <x:v>80</x:v>
      </x:c>
      <x:c r="I102" s="13" t="n">
        <x:v>0.17365316747210363</x:v>
      </x:c>
      <x:c r="J102" s="13" t="n">
        <x:v>0.1051051698599645</x:v>
      </x:c>
      <x:c r="K102" s="13" t="n">
        <x:v>0.0029514779757336533</x:v>
      </x:c>
      <x:c r="L102" s="13" t="n">
        <x:v>0.0046939532574454</x:v>
      </x:c>
      <x:c r="M102" s="13" t="n">
        <x:v>5159.739326315001</x:v>
      </x:c>
      <x:c r="N102" s="13" t="n">
        <x:v>6323.171954397112</x:v>
      </x:c>
      <x:c r="O102" s="10" t="str">
        <x:v>completed</x:v>
      </x:c>
      <x:c r="P102" s="11" t="n">
        <x:v>5000</x:v>
      </x:c>
      <x:c r="Q102" s="11" t="n">
        <x:v>10000</x:v>
      </x:c>
      <x:c r="R102" s="11" t="n">
        <x:v>3</x:v>
      </x:c>
      <x:c r="S102" s="10" t="str">
        <x:v>beta</x:v>
      </x:c>
      <x:c r="T102" s="13" t="n">
        <x:v>4.4</x:v>
      </x:c>
      <x:c r="U102" s="13" t="n">
        <x:v>4.41977596282959</x:v>
      </x:c>
      <x:c r="V102" s="13" t="n">
        <x:v>0.01977596282958949</x:v>
      </x:c>
      <x:c r="W102" s="13" t="str">
        <x:v>tau0</x:v>
      </x:c>
      <x:c r="X102" s="13" t="n">
        <x:v>1.19</x:v>
      </x:c>
      <x:c r="Y102" s="13" t="n">
        <x:v>1.042680263519287</x:v>
      </x:c>
      <x:c r="Z102" s="13" t="n">
        <x:v>0.14731973648071284</x:v>
      </x:c>
      <x:c r="AA102" s="10" t="str">
        <x:v>nicholson_three_method_inverse_20260822_064851_seed_20260901</x:v>
      </x:c>
    </x:row>
    <x:row r="103">
      <x:c r="A103" s="10" t="str">
        <x:v>Nicholson</x:v>
      </x:c>
      <x:c r="B103" s="11" t="n">
        <x:v>20260901</x:v>
      </x:c>
      <x:c r="C103" s="11" t="n">
        <x:v>1</x:v>
      </x:c>
      <x:c r="D103" s="12" t="n">
        <x:v>0.02</x:v>
      </x:c>
      <x:c r="E103" s="11" t="n">
        <x:v>1</x:v>
      </x:c>
      <x:c r="F103" s="11" t="n">
        <x:v>20</x:v>
      </x:c>
      <x:c r="G103" s="11" t="n">
        <x:v>4</x:v>
      </x:c>
      <x:c r="H103" s="11" t="n">
        <x:v>80</x:v>
      </x:c>
      <x:c r="I103" s="13" t="n">
        <x:v>0.03338020648484113</x:v>
      </x:c>
      <x:c r="J103" s="13" t="n">
        <x:v>0.020218599096511983</x:v>
      </x:c>
      <x:c r="K103" s="13" t="n">
        <x:v>0.002065197453364835</x:v>
      </x:c>
      <x:c r="L103" s="13" t="n">
        <x:v>0.004031946385823445</x:v>
      </x:c>
      <x:c r="M103" s="13" t="n">
        <x:v>3288.5755388420075</x:v>
      </x:c>
      <x:c r="N103" s="13" t="n">
        <x:v>3288.533724689856</x:v>
      </x:c>
      <x:c r="O103" s="10" t="str">
        <x:v>completed</x:v>
      </x:c>
      <x:c r="P103" s="11" t="n">
        <x:v>5000</x:v>
      </x:c>
      <x:c r="Q103" s="11" t="n">
        <x:v>10000</x:v>
      </x:c>
      <x:c r="R103" s="11" t="n">
        <x:v>3</x:v>
      </x:c>
      <x:c r="S103" s="10" t="str">
        <x:v>beta</x:v>
      </x:c>
      <x:c r="T103" s="13" t="n">
        <x:v>6.8</x:v>
      </x:c>
      <x:c r="U103" s="13" t="n">
        <x:v>6.796039581298828</x:v>
      </x:c>
      <x:c r="V103" s="13" t="n">
        <x:v>0.003960418701171697</x:v>
      </x:c>
      <x:c r="W103" s="13" t="str">
        <x:v>tau0</x:v>
      </x:c>
      <x:c r="X103" s="13" t="n">
        <x:v>1.3699999999999999</x:v>
      </x:c>
      <x:c r="Y103" s="13" t="n">
        <x:v>1.398317813873291</x:v>
      </x:c>
      <x:c r="Z103" s="13" t="n">
        <x:v>0.02831781387329113</x:v>
      </x:c>
      <x:c r="AA103" s="10" t="str">
        <x:v>nicholson_three_method_inverse_20260822_064851_seed_20260901</x:v>
      </x:c>
    </x:row>
    <x:row r="104">
      <x:c r="A104" s="10" t="str">
        <x:v>Nicholson</x:v>
      </x:c>
      <x:c r="B104" s="11" t="n">
        <x:v>20260901</x:v>
      </x:c>
      <x:c r="C104" s="11" t="n">
        <x:v>2</x:v>
      </x:c>
      <x:c r="D104" s="12" t="n">
        <x:v>0.02</x:v>
      </x:c>
      <x:c r="E104" s="11" t="n">
        <x:v>1</x:v>
      </x:c>
      <x:c r="F104" s="11" t="n">
        <x:v>20</x:v>
      </x:c>
      <x:c r="G104" s="11" t="n">
        <x:v>4</x:v>
      </x:c>
      <x:c r="H104" s="11" t="n">
        <x:v>80</x:v>
      </x:c>
      <x:c r="I104" s="13" t="n">
        <x:v>0.0033987417642576162</x:v>
      </x:c>
      <x:c r="J104" s="13" t="n">
        <x:v>0.005483681658816622</x:v>
      </x:c>
      <x:c r="K104" s="13" t="n">
        <x:v>0.0007367589261388155</x:v>
      </x:c>
      <x:c r="L104" s="13" t="n">
        <x:v>0.003651074760868976</x:v>
      </x:c>
      <x:c r="M104" s="13" t="n">
        <x:v>3221.9035493461415</x:v>
      </x:c>
      <x:c r="N104" s="13" t="n">
        <x:v>3221.8656793436967</x:v>
      </x:c>
      <x:c r="O104" s="10" t="str">
        <x:v>completed</x:v>
      </x:c>
      <x:c r="P104" s="11" t="n">
        <x:v>5000</x:v>
      </x:c>
      <x:c r="Q104" s="11" t="n">
        <x:v>10000</x:v>
      </x:c>
      <x:c r="R104" s="11" t="n">
        <x:v>2</x:v>
      </x:c>
      <x:c r="S104" s="10" t="str">
        <x:v>beta</x:v>
      </x:c>
      <x:c r="T104" s="13" t="n">
        <x:v>6</x:v>
      </x:c>
      <x:c r="U104" s="13" t="n">
        <x:v>5.992718696594238</x:v>
      </x:c>
      <x:c r="V104" s="13" t="n">
        <x:v>0.007281303405761719</x:v>
      </x:c>
      <x:c r="W104" s="13" t="str">
        <x:v>tau0</x:v>
      </x:c>
      <x:c r="X104" s="13" t="n">
        <x:v>0.89</x:v>
      </x:c>
      <x:c r="Y104" s="13" t="n">
        <x:v>0.8873308897018433</x:v>
      </x:c>
      <x:c r="Z104" s="13" t="n">
        <x:v>0.0026691102981567516</x:v>
      </x:c>
      <x:c r="AA104" s="10" t="str">
        <x:v>nicholson_three_method_inverse_20260822_064851_seed_20260901</x:v>
      </x:c>
    </x:row>
    <x:row r="105">
      <x:c r="A105" s="10" t="str">
        <x:v>Nicholson</x:v>
      </x:c>
      <x:c r="B105" s="11" t="n">
        <x:v>20260901</x:v>
      </x:c>
      <x:c r="C105" s="11" t="n">
        <x:v>3</x:v>
      </x:c>
      <x:c r="D105" s="12" t="n">
        <x:v>0.02</x:v>
      </x:c>
      <x:c r="E105" s="11" t="n">
        <x:v>1</x:v>
      </x:c>
      <x:c r="F105" s="11" t="n">
        <x:v>20</x:v>
      </x:c>
      <x:c r="G105" s="11" t="n">
        <x:v>4</x:v>
      </x:c>
      <x:c r="H105" s="11" t="n">
        <x:v>80</x:v>
      </x:c>
      <x:c r="I105" s="13" t="n">
        <x:v>0.37727318196169657</x:v>
      </x:c>
      <x:c r="J105" s="13" t="n">
        <x:v>0.2266666359435994</x:v>
      </x:c>
      <x:c r="K105" s="13" t="n">
        <x:v>0.004218670711716146</x:v>
      </x:c>
      <x:c r="L105" s="13" t="n">
        <x:v>0.006744367860826403</x:v>
      </x:c>
      <x:c r="M105" s="13" t="n">
        <x:v>3180.032665115781</x:v>
      </x:c>
      <x:c r="N105" s="13" t="n">
        <x:v>3179.9756486150436</x:v>
      </x:c>
      <x:c r="O105" s="10" t="str">
        <x:v>completed</x:v>
      </x:c>
      <x:c r="P105" s="11" t="n">
        <x:v>5000</x:v>
      </x:c>
      <x:c r="Q105" s="11" t="n">
        <x:v>10000</x:v>
      </x:c>
      <x:c r="R105" s="11" t="n">
        <x:v>3</x:v>
      </x:c>
      <x:c r="S105" s="10" t="str">
        <x:v>beta</x:v>
      </x:c>
      <x:c r="T105" s="13" t="n">
        <x:v>3.6</x:v>
      </x:c>
      <x:c r="U105" s="13" t="n">
        <x:v>3.616751194000244</x:v>
      </x:c>
      <x:c r="V105" s="13" t="n">
        <x:v>0.016751194000244052</x:v>
      </x:c>
      <x:c r="W105" s="13" t="str">
        <x:v>tau0</x:v>
      </x:c>
      <x:c r="X105" s="13" t="n">
        <x:v>1.07</x:v>
      </x:c>
      <x:c r="Y105" s="13" t="n">
        <x:v>1.3901170492172241</x:v>
      </x:c>
      <x:c r="Z105" s="13" t="n">
        <x:v>0.32011704921722406</x:v>
      </x:c>
      <x:c r="AA105" s="10" t="str">
        <x:v>nicholson_three_method_inverse_20260822_064851_seed_20260901</x:v>
      </x:c>
    </x:row>
    <x:row r="106">
      <x:c r="A106" s="10" t="str">
        <x:v>Nicholson</x:v>
      </x:c>
      <x:c r="B106" s="11" t="n">
        <x:v>20260901</x:v>
      </x:c>
      <x:c r="C106" s="11" t="n">
        <x:v>4</x:v>
      </x:c>
      <x:c r="D106" s="12" t="n">
        <x:v>0.02</x:v>
      </x:c>
      <x:c r="E106" s="11" t="n">
        <x:v>1</x:v>
      </x:c>
      <x:c r="F106" s="11" t="n">
        <x:v>20</x:v>
      </x:c>
      <x:c r="G106" s="11" t="n">
        <x:v>4</x:v>
      </x:c>
      <x:c r="H106" s="11" t="n">
        <x:v>80</x:v>
      </x:c>
      <x:c r="I106" s="13" t="n">
        <x:v>0.04162987514740188</x:v>
      </x:c>
      <x:c r="J106" s="13" t="n">
        <x:v>0.02516659631629203</x:v>
      </x:c>
      <x:c r="K106" s="13" t="n">
        <x:v>0.001123246789308513</x:v>
      </x:c>
      <x:c r="L106" s="13" t="n">
        <x:v>0.0044162384498282565</x:v>
      </x:c>
      <x:c r="M106" s="13" t="n">
        <x:v>3273.991645187605</x:v>
      </x:c>
      <x:c r="N106" s="13" t="n">
        <x:v>3273.941836437676</x:v>
      </x:c>
      <x:c r="O106" s="10" t="str">
        <x:v>completed</x:v>
      </x:c>
      <x:c r="P106" s="11" t="n">
        <x:v>5000</x:v>
      </x:c>
      <x:c r="Q106" s="11" t="n">
        <x:v>10000</x:v>
      </x:c>
      <x:c r="R106" s="11" t="n">
        <x:v>4</x:v>
      </x:c>
      <x:c r="S106" s="10" t="str">
        <x:v>beta</x:v>
      </x:c>
      <x:c r="T106" s="13" t="n">
        <x:v>5.6</x:v>
      </x:c>
      <x:c r="U106" s="13" t="n">
        <x:v>5.604399681091309</x:v>
      </x:c>
      <x:c r="V106" s="13" t="n">
        <x:v>0.004399681091308949</x:v>
      </x:c>
      <x:c r="W106" s="13" t="str">
        <x:v>tau0</x:v>
      </x:c>
      <x:c r="X106" s="13" t="n">
        <x:v>1.31</x:v>
      </x:c>
      <x:c r="Y106" s="13" t="n">
        <x:v>1.2746820449829102</x:v>
      </x:c>
      <x:c r="Z106" s="13" t="n">
        <x:v>0.0353179550170899</x:v>
      </x:c>
      <x:c r="AA106" s="10" t="str">
        <x:v>nicholson_three_method_inverse_20260822_064851_seed_20260901</x:v>
      </x:c>
    </x:row>
    <x:row r="107">
      <x:c r="A107" s="10" t="str">
        <x:v>Nicholson</x:v>
      </x:c>
      <x:c r="B107" s="11" t="n">
        <x:v>20260901</x:v>
      </x:c>
      <x:c r="C107" s="11" t="n">
        <x:v>5</x:v>
      </x:c>
      <x:c r="D107" s="12" t="n">
        <x:v>0.02</x:v>
      </x:c>
      <x:c r="E107" s="11" t="n">
        <x:v>1</x:v>
      </x:c>
      <x:c r="F107" s="11" t="n">
        <x:v>20</x:v>
      </x:c>
      <x:c r="G107" s="11" t="n">
        <x:v>4</x:v>
      </x:c>
      <x:c r="H107" s="11" t="n">
        <x:v>80</x:v>
      </x:c>
      <x:c r="I107" s="13" t="n">
        <x:v>0.04179236724739187</x:v>
      </x:c>
      <x:c r="J107" s="13" t="n">
        <x:v>0.025161157555428738</x:v>
      </x:c>
      <x:c r="K107" s="13" t="n">
        <x:v>0.000972701402530307</x:v>
      </x:c>
      <x:c r="L107" s="13" t="n">
        <x:v>0.004163098731241283</x:v>
      </x:c>
      <x:c r="M107" s="13" t="n">
        <x:v>3270.4328320128843</x:v>
      </x:c>
      <x:c r="N107" s="13" t="n">
        <x:v>3270.4010011181235</x:v>
      </x:c>
      <x:c r="O107" s="10" t="str">
        <x:v>completed</x:v>
      </x:c>
      <x:c r="P107" s="11" t="n">
        <x:v>5000</x:v>
      </x:c>
      <x:c r="Q107" s="11" t="n">
        <x:v>10000</x:v>
      </x:c>
      <x:c r="R107" s="11" t="n">
        <x:v>4</x:v>
      </x:c>
      <x:c r="S107" s="10" t="str">
        <x:v>beta</x:v>
      </x:c>
      <x:c r="T107" s="13" t="n">
        <x:v>5.2</x:v>
      </x:c>
      <x:c r="U107" s="13" t="n">
        <x:v>5.202968597412109</x:v>
      </x:c>
      <x:c r="V107" s="13" t="n">
        <x:v>0.0029685974121091974</x:v>
      </x:c>
      <x:c r="W107" s="13" t="str">
        <x:v>tau0</x:v>
      </x:c>
      <x:c r="X107" s="13" t="n">
        <x:v>0.8300000000000001</x:v>
      </x:c>
      <x:c r="Y107" s="13" t="n">
        <x:v>0.8654592037200928</x:v>
      </x:c>
      <x:c r="Z107" s="13" t="n">
        <x:v>0.0354592037200927</x:v>
      </x:c>
      <x:c r="AA107" s="10" t="str">
        <x:v>nicholson_three_method_inverse_20260822_064851_seed_20260901</x:v>
      </x:c>
    </x:row>
    <x:row r="108">
      <x:c r="A108" s="10" t="str">
        <x:v>Nicholson</x:v>
      </x:c>
      <x:c r="B108" s="11" t="n">
        <x:v>20260901</x:v>
      </x:c>
      <x:c r="C108" s="11" t="n">
        <x:v>6</x:v>
      </x:c>
      <x:c r="D108" s="12" t="n">
        <x:v>0.02</x:v>
      </x:c>
      <x:c r="E108" s="11" t="n">
        <x:v>1</x:v>
      </x:c>
      <x:c r="F108" s="11" t="n">
        <x:v>20</x:v>
      </x:c>
      <x:c r="G108" s="11" t="n">
        <x:v>4</x:v>
      </x:c>
      <x:c r="H108" s="11" t="n">
        <x:v>80</x:v>
      </x:c>
      <x:c r="I108" s="13" t="n">
        <x:v>0.010495884510873476</x:v>
      </x:c>
      <x:c r="J108" s="13" t="n">
        <x:v>0.008320175206922225</x:v>
      </x:c>
      <x:c r="K108" s="13" t="n">
        <x:v>0.0006766239355263405</x:v>
      </x:c>
      <x:c r="L108" s="13" t="n">
        <x:v>0.0033160396887148024</x:v>
      </x:c>
      <x:c r="M108" s="13" t="n">
        <x:v>12252.50396438688</x:v>
      </x:c>
      <x:c r="N108" s="13" t="n">
        <x:v>12252.448609095998</x:v>
      </x:c>
      <x:c r="O108" s="10" t="str">
        <x:v>completed</x:v>
      </x:c>
      <x:c r="P108" s="11" t="n">
        <x:v>5000</x:v>
      </x:c>
      <x:c r="Q108" s="11" t="n">
        <x:v>10000</x:v>
      </x:c>
      <x:c r="R108" s="11" t="n">
        <x:v>0</x:v>
      </x:c>
      <x:c r="S108" s="10" t="str">
        <x:v>beta</x:v>
      </x:c>
      <x:c r="T108" s="13" t="n">
        <x:v>6.4</x:v>
      </x:c>
      <x:c r="U108" s="13" t="n">
        <x:v>6.407777786254883</x:v>
      </x:c>
      <x:c r="V108" s="13" t="n">
        <x:v>0.007777786254882457</x:v>
      </x:c>
      <x:c r="W108" s="13" t="str">
        <x:v>tau0</x:v>
      </x:c>
      <x:c r="X108" s="13" t="n">
        <x:v>0.95</x:v>
      </x:c>
      <x:c r="Y108" s="13" t="n">
        <x:v>0.9411706924438477</x:v>
      </x:c>
      <x:c r="Z108" s="13" t="n">
        <x:v>0.0088293075561523</x:v>
      </x:c>
      <x:c r="AA108" s="10" t="str">
        <x:v>nicholson_three_method_inverse_20260822_064851_seed_20260901</x:v>
      </x:c>
    </x:row>
    <x:row r="109">
      <x:c r="A109" s="10" t="str">
        <x:v>Nicholson</x:v>
      </x:c>
      <x:c r="B109" s="11" t="n">
        <x:v>20260901</x:v>
      </x:c>
      <x:c r="C109" s="11" t="n">
        <x:v>7</x:v>
      </x:c>
      <x:c r="D109" s="12" t="n">
        <x:v>0.02</x:v>
      </x:c>
      <x:c r="E109" s="11" t="n">
        <x:v>1</x:v>
      </x:c>
      <x:c r="F109" s="11" t="n">
        <x:v>20</x:v>
      </x:c>
      <x:c r="G109" s="11" t="n">
        <x:v>4</x:v>
      </x:c>
      <x:c r="H109" s="11" t="n">
        <x:v>80</x:v>
      </x:c>
      <x:c r="I109" s="13" t="n">
        <x:v>0.09078289399783158</x:v>
      </x:c>
      <x:c r="J109" s="13" t="n">
        <x:v>0.054626641538533034</x:v>
      </x:c>
      <x:c r="K109" s="13" t="n">
        <x:v>0.0017171872715102917</x:v>
      </x:c>
      <x:c r="L109" s="13" t="n">
        <x:v>0.005808959863752243</x:v>
      </x:c>
      <x:c r="M109" s="13" t="n">
        <x:v>3588.83821902005</x:v>
      </x:c>
      <x:c r="N109" s="13" t="n">
        <x:v>3588.7712250272743</x:v>
      </x:c>
      <x:c r="O109" s="10" t="str">
        <x:v>completed</x:v>
      </x:c>
      <x:c r="P109" s="11" t="n">
        <x:v>5000</x:v>
      </x:c>
      <x:c r="Q109" s="11" t="n">
        <x:v>10000</x:v>
      </x:c>
      <x:c r="R109" s="11" t="n">
        <x:v>0</x:v>
      </x:c>
      <x:c r="S109" s="10" t="str">
        <x:v>beta</x:v>
      </x:c>
      <x:c r="T109" s="13" t="n">
        <x:v>3.2</x:v>
      </x:c>
      <x:c r="U109" s="13" t="n">
        <x:v>3.205918073654175</x:v>
      </x:c>
      <x:c r="V109" s="13" t="n">
        <x:v>0.005918073654174627</x:v>
      </x:c>
      <x:c r="W109" s="13" t="str">
        <x:v>tau0</x:v>
      </x:c>
      <x:c r="X109" s="13" t="n">
        <x:v>1.25</x:v>
      </x:c>
      <x:c r="Y109" s="13" t="n">
        <x:v>1.1729732751846313</x:v>
      </x:c>
      <x:c r="Z109" s="13" t="n">
        <x:v>0.07702672481536865</x:v>
      </x:c>
      <x:c r="AA109" s="10" t="str">
        <x:v>nicholson_three_method_inverse_20260822_064851_seed_20260901</x:v>
      </x:c>
    </x:row>
    <x:row r="110">
      <x:c r="A110" s="10" t="str">
        <x:v>Nicholson</x:v>
      </x:c>
      <x:c r="B110" s="11" t="n">
        <x:v>20260901</x:v>
      </x:c>
      <x:c r="C110" s="11" t="n">
        <x:v>8</x:v>
      </x:c>
      <x:c r="D110" s="12" t="n">
        <x:v>0.02</x:v>
      </x:c>
      <x:c r="E110" s="11" t="n">
        <x:v>1</x:v>
      </x:c>
      <x:c r="F110" s="11" t="n">
        <x:v>20</x:v>
      </x:c>
      <x:c r="G110" s="11" t="n">
        <x:v>4</x:v>
      </x:c>
      <x:c r="H110" s="11" t="n">
        <x:v>80</x:v>
      </x:c>
      <x:c r="I110" s="13" t="n">
        <x:v>0.18515420634731636</x:v>
      </x:c>
      <x:c r="J110" s="13" t="n">
        <x:v>0.11174436673957547</x:v>
      </x:c>
      <x:c r="K110" s="13" t="n">
        <x:v>0.0038310960196977473</x:v>
      </x:c>
      <x:c r="L110" s="13" t="n">
        <x:v>0.005473834407041976</x:v>
      </x:c>
      <x:c r="M110" s="13" t="n">
        <x:v>6138.474356884137</x:v>
      </x:c>
      <x:c r="N110" s="13" t="n">
        <x:v>6324.696220355108</x:v>
      </x:c>
      <x:c r="O110" s="10" t="str">
        <x:v>completed</x:v>
      </x:c>
      <x:c r="P110" s="11" t="n">
        <x:v>5000</x:v>
      </x:c>
      <x:c r="Q110" s="11" t="n">
        <x:v>10000</x:v>
      </x:c>
      <x:c r="R110" s="11" t="n">
        <x:v>3</x:v>
      </x:c>
      <x:c r="S110" s="10" t="str">
        <x:v>beta</x:v>
      </x:c>
      <x:c r="T110" s="13" t="n">
        <x:v>4.8</x:v>
      </x:c>
      <x:c r="U110" s="13" t="n">
        <x:v>4.7827606201171875</x:v>
      </x:c>
      <x:c r="V110" s="13" t="n">
        <x:v>0.017239379882812322</x:v>
      </x:c>
      <x:c r="W110" s="13" t="str">
        <x:v>tau0</x:v>
      </x:c>
      <x:c r="X110" s="13" t="n">
        <x:v>1.13</x:v>
      </x:c>
      <x:c r="Y110" s="13" t="n">
        <x:v>0.9729127287864685</x:v>
      </x:c>
      <x:c r="Z110" s="13" t="n">
        <x:v>0.1570872712135314</x:v>
      </x:c>
      <x:c r="AA110" s="10" t="str">
        <x:v>nicholson_three_method_inverse_20260822_064851_seed_20260901</x:v>
      </x:c>
    </x:row>
    <x:row r="111">
      <x:c r="A111" s="10" t="str">
        <x:v>Nicholson</x:v>
      </x:c>
      <x:c r="B111" s="11" t="n">
        <x:v>20260901</x:v>
      </x:c>
      <x:c r="C111" s="11" t="n">
        <x:v>9</x:v>
      </x:c>
      <x:c r="D111" s="12" t="n">
        <x:v>0.02</x:v>
      </x:c>
      <x:c r="E111" s="11" t="n">
        <x:v>1</x:v>
      </x:c>
      <x:c r="F111" s="11" t="n">
        <x:v>20</x:v>
      </x:c>
      <x:c r="G111" s="11" t="n">
        <x:v>4</x:v>
      </x:c>
      <x:c r="H111" s="11" t="n">
        <x:v>80</x:v>
      </x:c>
      <x:c r="I111" s="13" t="n">
        <x:v>0.326969467394783</x:v>
      </x:c>
      <x:c r="J111" s="13" t="n">
        <x:v>0.19622896785933577</x:v>
      </x:c>
      <x:c r="K111" s="13" t="n">
        <x:v>0.0030638075696607864</x:v>
      </x:c>
      <x:c r="L111" s="13" t="n">
        <x:v>0.005420793406507603</x:v>
      </x:c>
      <x:c r="M111" s="13" t="n">
        <x:v>4313.146023139823</x:v>
      </x:c>
      <x:c r="N111" s="13" t="n">
        <x:v>4313.108292304911</x:v>
      </x:c>
      <x:c r="O111" s="10" t="str">
        <x:v>completed</x:v>
      </x:c>
      <x:c r="P111" s="11" t="n">
        <x:v>5000</x:v>
      </x:c>
      <x:c r="Q111" s="11" t="n">
        <x:v>10000</x:v>
      </x:c>
      <x:c r="R111" s="11" t="n">
        <x:v>2</x:v>
      </x:c>
      <x:c r="S111" s="10" t="str">
        <x:v>beta</x:v>
      </x:c>
      <x:c r="T111" s="13" t="n">
        <x:v>4</x:v>
      </x:c>
      <x:c r="U111" s="13" t="n">
        <x:v>4.006161689758301</x:v>
      </x:c>
      <x:c r="V111" s="13" t="n">
        <x:v>0.006161689758300781</x:v>
      </x:c>
      <x:c r="W111" s="13" t="str">
        <x:v>tau0</x:v>
      </x:c>
      <x:c r="X111" s="13" t="n">
        <x:v>1.01</x:v>
      </x:c>
      <x:c r="Y111" s="13" t="n">
        <x:v>1.2874412536621094</x:v>
      </x:c>
      <x:c r="Z111" s="13" t="n">
        <x:v>0.27744125366210937</x:v>
      </x:c>
      <x:c r="AA111" s="10" t="str">
        <x:v>nicholson_three_method_inverse_20260822_064851_seed_20260901</x:v>
      </x:c>
    </x:row>
    <x:row r="112">
      <x:c r="A112" s="10" t="str">
        <x:v>Nicholson</x:v>
      </x:c>
      <x:c r="B112" s="11" t="n">
        <x:v>20260901</x:v>
      </x:c>
      <x:c r="C112" s="11" t="n">
        <x:v>0</x:v>
      </x:c>
      <x:c r="D112" s="12" t="n">
        <x:v>0.05</x:v>
      </x:c>
      <x:c r="E112" s="11" t="n">
        <x:v>1</x:v>
      </x:c>
      <x:c r="F112" s="11" t="n">
        <x:v>20</x:v>
      </x:c>
      <x:c r="G112" s="11" t="n">
        <x:v>4</x:v>
      </x:c>
      <x:c r="H112" s="11" t="n">
        <x:v>80</x:v>
      </x:c>
      <x:c r="I112" s="13" t="n">
        <x:v>0.09119855801778931</x:v>
      </x:c>
      <x:c r="J112" s="13" t="n">
        <x:v>0.060822961648882456</x:v>
      </x:c>
      <x:c r="K112" s="13" t="n">
        <x:v>0.006200550561393359</x:v>
      </x:c>
      <x:c r="L112" s="13" t="n">
        <x:v>0.012336822629228077</x:v>
      </x:c>
      <x:c r="M112" s="13" t="n">
        <x:v>4981.73440097319</x:v>
      </x:c>
      <x:c r="N112" s="13" t="n">
        <x:v>4981.6806108132005</x:v>
      </x:c>
      <x:c r="O112" s="10" t="str">
        <x:v>completed</x:v>
      </x:c>
      <x:c r="P112" s="11" t="n">
        <x:v>5000</x:v>
      </x:c>
      <x:c r="Q112" s="11" t="n">
        <x:v>10000</x:v>
      </x:c>
      <x:c r="R112" s="11" t="n">
        <x:v>3</x:v>
      </x:c>
      <x:c r="S112" s="10" t="str">
        <x:v>beta</x:v>
      </x:c>
      <x:c r="T112" s="13" t="n">
        <x:v>4.4</x:v>
      </x:c>
      <x:c r="U112" s="13" t="n">
        <x:v>4.437986373901367</x:v>
      </x:c>
      <x:c r="V112" s="13" t="n">
        <x:v>0.03798637390136683</x:v>
      </x:c>
      <x:c r="W112" s="13" t="str">
        <x:v>tau0</x:v>
      </x:c>
      <x:c r="X112" s="13" t="n">
        <x:v>1.19</x:v>
      </x:c>
      <x:c r="Y112" s="13" t="n">
        <x:v>1.267174482345581</x:v>
      </x:c>
      <x:c r="Z112" s="13" t="n">
        <x:v>0.07717448234558111</x:v>
      </x:c>
      <x:c r="AA112" s="10" t="str">
        <x:v>nicholson_three_method_inverse_20260822_064851_seed_20260901</x:v>
      </x:c>
    </x:row>
    <x:row r="113">
      <x:c r="A113" s="10" t="str">
        <x:v>Nicholson</x:v>
      </x:c>
      <x:c r="B113" s="11" t="n">
        <x:v>20260901</x:v>
      </x:c>
      <x:c r="C113" s="11" t="n">
        <x:v>1</x:v>
      </x:c>
      <x:c r="D113" s="12" t="n">
        <x:v>0.05</x:v>
      </x:c>
      <x:c r="E113" s="11" t="n">
        <x:v>1</x:v>
      </x:c>
      <x:c r="F113" s="11" t="n">
        <x:v>20</x:v>
      </x:c>
      <x:c r="G113" s="11" t="n">
        <x:v>4</x:v>
      </x:c>
      <x:c r="H113" s="11" t="n">
        <x:v>80</x:v>
      </x:c>
      <x:c r="I113" s="13" t="n">
        <x:v>0.03420159572302616</x:v>
      </x:c>
      <x:c r="J113" s="13" t="n">
        <x:v>0.020535196583272845</x:v>
      </x:c>
      <x:c r="K113" s="13" t="n">
        <x:v>0.002144143831457139</x:v>
      </x:c>
      <x:c r="L113" s="13" t="n">
        <x:v>0.009680543182268178</x:v>
      </x:c>
      <x:c r="M113" s="13" t="n">
        <x:v>3317.447871480137</x:v>
      </x:c>
      <x:c r="N113" s="13" t="n">
        <x:v>3317.402117602993</x:v>
      </x:c>
      <x:c r="O113" s="10" t="str">
        <x:v>completed</x:v>
      </x:c>
      <x:c r="P113" s="11" t="n">
        <x:v>5000</x:v>
      </x:c>
      <x:c r="Q113" s="11" t="n">
        <x:v>10000</x:v>
      </x:c>
      <x:c r="R113" s="11" t="n">
        <x:v>0</x:v>
      </x:c>
      <x:c r="S113" s="10" t="str">
        <x:v>beta</x:v>
      </x:c>
      <x:c r="T113" s="13" t="n">
        <x:v>6.8</x:v>
      </x:c>
      <x:c r="U113" s="13" t="n">
        <x:v>6.798906326293945</x:v>
      </x:c>
      <x:c r="V113" s="13" t="n">
        <x:v>0.0010936737060545099</x:v>
      </x:c>
      <x:c r="W113" s="13" t="str">
        <x:v>tau0</x:v>
      </x:c>
      <x:c r="X113" s="13" t="n">
        <x:v>1.3699999999999999</x:v>
      </x:c>
      <x:c r="Y113" s="13" t="n">
        <x:v>1.3990205526351929</x:v>
      </x:c>
      <x:c r="Z113" s="13" t="n">
        <x:v>0.029020552635192987</x:v>
      </x:c>
      <x:c r="AA113" s="10" t="str">
        <x:v>nicholson_three_method_inverse_20260822_064851_seed_20260901</x:v>
      </x:c>
    </x:row>
    <x:row r="114">
      <x:c r="A114" s="10" t="str">
        <x:v>Nicholson</x:v>
      </x:c>
      <x:c r="B114" s="11" t="n">
        <x:v>20260901</x:v>
      </x:c>
      <x:c r="C114" s="11" t="n">
        <x:v>2</x:v>
      </x:c>
      <x:c r="D114" s="12" t="n">
        <x:v>0.05</x:v>
      </x:c>
      <x:c r="E114" s="11" t="n">
        <x:v>1</x:v>
      </x:c>
      <x:c r="F114" s="11" t="n">
        <x:v>20</x:v>
      </x:c>
      <x:c r="G114" s="11" t="n">
        <x:v>4</x:v>
      </x:c>
      <x:c r="H114" s="11" t="n">
        <x:v>80</x:v>
      </x:c>
      <x:c r="I114" s="13" t="n">
        <x:v>0.06146837506237007</x:v>
      </x:c>
      <x:c r="J114" s="13" t="n">
        <x:v>0.039489713304734324</x:v>
      </x:c>
      <x:c r="K114" s="13" t="n">
        <x:v>0.0022502667071503395</x:v>
      </x:c>
      <x:c r="L114" s="13" t="n">
        <x:v>0.009494870758119212</x:v>
      </x:c>
      <x:c r="M114" s="13" t="n">
        <x:v>4405.692560070194</x:v>
      </x:c>
      <x:c r="N114" s="13" t="n">
        <x:v>4405.513146220706</x:v>
      </x:c>
      <x:c r="O114" s="10" t="str">
        <x:v>completed</x:v>
      </x:c>
      <x:c r="P114" s="11" t="n">
        <x:v>5000</x:v>
      </x:c>
      <x:c r="Q114" s="11" t="n">
        <x:v>10000</x:v>
      </x:c>
      <x:c r="R114" s="11" t="n">
        <x:v>2</x:v>
      </x:c>
      <x:c r="S114" s="10" t="str">
        <x:v>beta</x:v>
      </x:c>
      <x:c r="T114" s="13" t="n">
        <x:v>6</x:v>
      </x:c>
      <x:c r="U114" s="13" t="n">
        <x:v>5.9798102378845215</x:v>
      </x:c>
      <x:c r="V114" s="13" t="n">
        <x:v>0.020189762115478516</x:v>
      </x:c>
      <x:c r="W114" s="13" t="str">
        <x:v>tau0</x:v>
      </x:c>
      <x:c r="X114" s="13" t="n">
        <x:v>0.89</x:v>
      </x:c>
      <x:c r="Y114" s="13" t="n">
        <x:v>0.9420696496963501</x:v>
      </x:c>
      <x:c r="Z114" s="13" t="n">
        <x:v>0.052069649696350084</x:v>
      </x:c>
      <x:c r="AA114" s="10" t="str">
        <x:v>nicholson_three_method_inverse_20260822_064851_seed_20260901</x:v>
      </x:c>
    </x:row>
    <x:row r="115">
      <x:c r="A115" s="10" t="str">
        <x:v>Nicholson</x:v>
      </x:c>
      <x:c r="B115" s="11" t="n">
        <x:v>20260901</x:v>
      </x:c>
      <x:c r="C115" s="11" t="n">
        <x:v>3</x:v>
      </x:c>
      <x:c r="D115" s="12" t="n">
        <x:v>0.05</x:v>
      </x:c>
      <x:c r="E115" s="11" t="n">
        <x:v>1</x:v>
      </x:c>
      <x:c r="F115" s="11" t="n">
        <x:v>20</x:v>
      </x:c>
      <x:c r="G115" s="11" t="n">
        <x:v>4</x:v>
      </x:c>
      <x:c r="H115" s="11" t="n">
        <x:v>80</x:v>
      </x:c>
      <x:c r="I115" s="13" t="n">
        <x:v>0.045871689230236184</x:v>
      </x:c>
      <x:c r="J115" s="13" t="n">
        <x:v>0.04170642662234822</x:v>
      </x:c>
      <x:c r="K115" s="13" t="n">
        <x:v>0.009520755472904738</x:v>
      </x:c>
      <x:c r="L115" s="13" t="n">
        <x:v>0.01669127586185097</x:v>
      </x:c>
      <x:c r="M115" s="13" t="n">
        <x:v>3456.4407099327073</x:v>
      </x:c>
      <x:c r="N115" s="13" t="n">
        <x:v>3456.384789771866</x:v>
      </x:c>
      <x:c r="O115" s="10" t="str">
        <x:v>completed</x:v>
      </x:c>
      <x:c r="P115" s="11" t="n">
        <x:v>5000</x:v>
      </x:c>
      <x:c r="Q115" s="11" t="n">
        <x:v>10000</x:v>
      </x:c>
      <x:c r="R115" s="11" t="n">
        <x:v>4</x:v>
      </x:c>
      <x:c r="S115" s="10" t="str">
        <x:v>beta</x:v>
      </x:c>
      <x:c r="T115" s="13" t="n">
        <x:v>3.6</x:v>
      </x:c>
      <x:c r="U115" s="13" t="n">
        <x:v>3.644822120666504</x:v>
      </x:c>
      <x:c r="V115" s="13" t="n">
        <x:v>0.04482212066650382</x:v>
      </x:c>
      <x:c r="W115" s="13" t="str">
        <x:v>tau0</x:v>
      </x:c>
      <x:c r="X115" s="13" t="n">
        <x:v>1.07</x:v>
      </x:c>
      <x:c r="Y115" s="13" t="n">
        <x:v>1.1083383560180664</x:v>
      </x:c>
      <x:c r="Z115" s="13" t="n">
        <x:v>0.038338356018066344</x:v>
      </x:c>
      <x:c r="AA115" s="10" t="str">
        <x:v>nicholson_three_method_inverse_20260822_064851_seed_20260901</x:v>
      </x:c>
    </x:row>
    <x:row r="116">
      <x:c r="A116" s="10" t="str">
        <x:v>Nicholson</x:v>
      </x:c>
      <x:c r="B116" s="11" t="n">
        <x:v>20260901</x:v>
      </x:c>
      <x:c r="C116" s="11" t="n">
        <x:v>4</x:v>
      </x:c>
      <x:c r="D116" s="12" t="n">
        <x:v>0.05</x:v>
      </x:c>
      <x:c r="E116" s="11" t="n">
        <x:v>1</x:v>
      </x:c>
      <x:c r="F116" s="11" t="n">
        <x:v>20</x:v>
      </x:c>
      <x:c r="G116" s="11" t="n">
        <x:v>4</x:v>
      </x:c>
      <x:c r="H116" s="11" t="n">
        <x:v>80</x:v>
      </x:c>
      <x:c r="I116" s="13" t="n">
        <x:v>0.11185877077743298</x:v>
      </x:c>
      <x:c r="J116" s="13" t="n">
        <x:v>0.0673889306816929</x:v>
      </x:c>
      <x:c r="K116" s="13" t="n">
        <x:v>0.0029093546411213807</x:v>
      </x:c>
      <x:c r="L116" s="13" t="n">
        <x:v>0.010463423720116091</x:v>
      </x:c>
      <x:c r="M116" s="13" t="n">
        <x:v>3721.6559821460396</x:v>
      </x:c>
      <x:c r="N116" s="13" t="n">
        <x:v>3721.6331578111276</x:v>
      </x:c>
      <x:c r="O116" s="10" t="str">
        <x:v>completed</x:v>
      </x:c>
      <x:c r="P116" s="11" t="n">
        <x:v>5000</x:v>
      </x:c>
      <x:c r="Q116" s="11" t="n">
        <x:v>10000</x:v>
      </x:c>
      <x:c r="R116" s="11" t="n">
        <x:v>4</x:v>
      </x:c>
      <x:c r="S116" s="10" t="str">
        <x:v>beta</x:v>
      </x:c>
      <x:c r="T116" s="13" t="n">
        <x:v>5.6</x:v>
      </x:c>
      <x:c r="U116" s="13" t="n">
        <x:v>5.608678340911865</x:v>
      </x:c>
      <x:c r="V116" s="13" t="n">
        <x:v>0.00867834091186559</x:v>
      </x:c>
      <x:c r="W116" s="13" t="str">
        <x:v>tau0</x:v>
      </x:c>
      <x:c r="X116" s="13" t="n">
        <x:v>1.31</x:v>
      </x:c>
      <x:c r="Y116" s="13" t="n">
        <x:v>1.2150936126708984</x:v>
      </x:c>
      <x:c r="Z116" s="13" t="n">
        <x:v>0.09490638732910162</x:v>
      </x:c>
      <x:c r="AA116" s="10" t="str">
        <x:v>nicholson_three_method_inverse_20260822_064851_seed_20260901</x:v>
      </x:c>
    </x:row>
    <x:row r="117">
      <x:c r="A117" s="10" t="str">
        <x:v>Nicholson</x:v>
      </x:c>
      <x:c r="B117" s="11" t="n">
        <x:v>20260901</x:v>
      </x:c>
      <x:c r="C117" s="11" t="n">
        <x:v>5</x:v>
      </x:c>
      <x:c r="D117" s="12" t="n">
        <x:v>0.05</x:v>
      </x:c>
      <x:c r="E117" s="11" t="n">
        <x:v>1</x:v>
      </x:c>
      <x:c r="F117" s="11" t="n">
        <x:v>20</x:v>
      </x:c>
      <x:c r="G117" s="11" t="n">
        <x:v>4</x:v>
      </x:c>
      <x:c r="H117" s="11" t="n">
        <x:v>80</x:v>
      </x:c>
      <x:c r="I117" s="13" t="n">
        <x:v>0.09968656835893794</x:v>
      </x:c>
      <x:c r="J117" s="13" t="n">
        <x:v>0.060794768305751166</x:v>
      </x:c>
      <x:c r="K117" s="13" t="n">
        <x:v>0.0030172639603022852</x:v>
      </x:c>
      <x:c r="L117" s="13" t="n">
        <x:v>0.010729769283418502</x:v>
      </x:c>
      <x:c r="M117" s="13" t="n">
        <x:v>5579.594133484177</x:v>
      </x:c>
      <x:c r="N117" s="13" t="n">
        <x:v>5579.509391453117</x:v>
      </x:c>
      <x:c r="O117" s="10" t="str">
        <x:v>completed</x:v>
      </x:c>
      <x:c r="P117" s="11" t="n">
        <x:v>5000</x:v>
      </x:c>
      <x:c r="Q117" s="11" t="n">
        <x:v>10000</x:v>
      </x:c>
      <x:c r="R117" s="11" t="n">
        <x:v>3</x:v>
      </x:c>
      <x:c r="S117" s="10" t="str">
        <x:v>beta</x:v>
      </x:c>
      <x:c r="T117" s="13" t="n">
        <x:v>5.2</x:v>
      </x:c>
      <x:c r="U117" s="13" t="n">
        <x:v>5.215573310852051</x:v>
      </x:c>
      <x:c r="V117" s="13" t="n">
        <x:v>0.015573310852050604</x:v>
      </x:c>
      <x:c r="W117" s="13" t="str">
        <x:v>tau0</x:v>
      </x:c>
      <x:c r="X117" s="13" t="n">
        <x:v>0.8300000000000001</x:v>
      </x:c>
      <x:c r="Y117" s="13" t="n">
        <x:v>0.9145545959472656</x:v>
      </x:c>
      <x:c r="Z117" s="13" t="n">
        <x:v>0.08455459594726555</x:v>
      </x:c>
      <x:c r="AA117" s="10" t="str">
        <x:v>nicholson_three_method_inverse_20260822_064851_seed_20260901</x:v>
      </x:c>
    </x:row>
    <x:row r="118">
      <x:c r="A118" s="10" t="str">
        <x:v>Nicholson</x:v>
      </x:c>
      <x:c r="B118" s="11" t="n">
        <x:v>20260901</x:v>
      </x:c>
      <x:c r="C118" s="11" t="n">
        <x:v>6</x:v>
      </x:c>
      <x:c r="D118" s="12" t="n">
        <x:v>0.05</x:v>
      </x:c>
      <x:c r="E118" s="11" t="n">
        <x:v>1</x:v>
      </x:c>
      <x:c r="F118" s="11" t="n">
        <x:v>20</x:v>
      </x:c>
      <x:c r="G118" s="11" t="n">
        <x:v>4</x:v>
      </x:c>
      <x:c r="H118" s="11" t="n">
        <x:v>80</x:v>
      </x:c>
      <x:c r="I118" s="13" t="n">
        <x:v>0.032803297822114275</x:v>
      </x:c>
      <x:c r="J118" s="13" t="n">
        <x:v>0.02694000424377518</x:v>
      </x:c>
      <x:c r="K118" s="13" t="n">
        <x:v>0.0022631371426457465</x:v>
      </x:c>
      <x:c r="L118" s="13" t="n">
        <x:v>0.008881206302085583</x:v>
      </x:c>
      <x:c r="M118" s="13" t="n">
        <x:v>3268.167671349831</x:v>
      </x:c>
      <x:c r="N118" s="13" t="n">
        <x:v>3268.11462501809</x:v>
      </x:c>
      <x:c r="O118" s="10" t="str">
        <x:v>completed</x:v>
      </x:c>
      <x:c r="P118" s="11" t="n">
        <x:v>5000</x:v>
      </x:c>
      <x:c r="Q118" s="11" t="n">
        <x:v>10000</x:v>
      </x:c>
      <x:c r="R118" s="11" t="n">
        <x:v>2</x:v>
      </x:c>
      <x:c r="S118" s="10" t="str">
        <x:v>beta</x:v>
      </x:c>
      <x:c r="T118" s="13" t="n">
        <x:v>6.4</x:v>
      </x:c>
      <x:c r="U118" s="13" t="n">
        <x:v>6.426312446594238</x:v>
      </x:c>
      <x:c r="V118" s="13" t="n">
        <x:v>0.026312446594237926</x:v>
      </x:c>
      <x:c r="W118" s="13" t="str">
        <x:v>tau0</x:v>
      </x:c>
      <x:c r="X118" s="13" t="n">
        <x:v>0.95</x:v>
      </x:c>
      <x:c r="Y118" s="13" t="n">
        <x:v>0.9224467277526855</x:v>
      </x:c>
      <x:c r="Z118" s="13" t="n">
        <x:v>0.02755327224731441</x:v>
      </x:c>
      <x:c r="AA118" s="10" t="str">
        <x:v>nicholson_three_method_inverse_20260822_064851_seed_20260901</x:v>
      </x:c>
    </x:row>
    <x:row r="119">
      <x:c r="A119" s="10" t="str">
        <x:v>Nicholson</x:v>
      </x:c>
      <x:c r="B119" s="11" t="n">
        <x:v>20260901</x:v>
      </x:c>
      <x:c r="C119" s="11" t="n">
        <x:v>7</x:v>
      </x:c>
      <x:c r="D119" s="12" t="n">
        <x:v>0.05</x:v>
      </x:c>
      <x:c r="E119" s="11" t="n">
        <x:v>1</x:v>
      </x:c>
      <x:c r="F119" s="11" t="n">
        <x:v>20</x:v>
      </x:c>
      <x:c r="G119" s="11" t="n">
        <x:v>4</x:v>
      </x:c>
      <x:c r="H119" s="11" t="n">
        <x:v>80</x:v>
      </x:c>
      <x:c r="I119" s="13" t="n">
        <x:v>0.046688303480862024</x:v>
      </x:c>
      <x:c r="J119" s="13" t="n">
        <x:v>0.030479552988787097</x:v>
      </x:c>
      <x:c r="K119" s="13" t="n">
        <x:v>0.004448706537286477</x:v>
      </x:c>
      <x:c r="L119" s="13" t="n">
        <x:v>0.014548734940382849</x:v>
      </x:c>
      <x:c r="M119" s="13" t="n">
        <x:v>4439.071732997894</x:v>
      </x:c>
      <x:c r="N119" s="13" t="n">
        <x:v>4439.023728667293</x:v>
      </x:c>
      <x:c r="O119" s="10" t="str">
        <x:v>completed</x:v>
      </x:c>
      <x:c r="P119" s="11" t="n">
        <x:v>5000</x:v>
      </x:c>
      <x:c r="Q119" s="11" t="n">
        <x:v>10000</x:v>
      </x:c>
      <x:c r="R119" s="11" t="n">
        <x:v>0</x:v>
      </x:c>
      <x:c r="S119" s="10" t="str">
        <x:v>beta</x:v>
      </x:c>
      <x:c r="T119" s="13" t="n">
        <x:v>3.2</x:v>
      </x:c>
      <x:c r="U119" s="13" t="n">
        <x:v>3.2171812057495117</x:v>
      </x:c>
      <x:c r="V119" s="13" t="n">
        <x:v>0.01718120574951154</x:v>
      </x:c>
      <x:c r="W119" s="13" t="str">
        <x:v>tau0</x:v>
      </x:c>
      <x:c r="X119" s="13" t="n">
        <x:v>1.25</x:v>
      </x:c>
      <x:c r="Y119" s="13" t="n">
        <x:v>1.2895324230194092</x:v>
      </x:c>
      <x:c r="Z119" s="13" t="n">
        <x:v>0.03953242301940918</x:v>
      </x:c>
      <x:c r="AA119" s="10" t="str">
        <x:v>nicholson_three_method_inverse_20260822_064851_seed_20260901</x:v>
      </x:c>
    </x:row>
    <x:row r="120">
      <x:c r="A120" s="10" t="str">
        <x:v>Nicholson</x:v>
      </x:c>
      <x:c r="B120" s="11" t="n">
        <x:v>20260901</x:v>
      </x:c>
      <x:c r="C120" s="11" t="n">
        <x:v>8</x:v>
      </x:c>
      <x:c r="D120" s="12" t="n">
        <x:v>0.05</x:v>
      </x:c>
      <x:c r="E120" s="11" t="n">
        <x:v>1</x:v>
      </x:c>
      <x:c r="F120" s="11" t="n">
        <x:v>20</x:v>
      </x:c>
      <x:c r="G120" s="11" t="n">
        <x:v>4</x:v>
      </x:c>
      <x:c r="H120" s="11" t="n">
        <x:v>80</x:v>
      </x:c>
      <x:c r="I120" s="13" t="n">
        <x:v>0.09222085725599018</x:v>
      </x:c>
      <x:c r="J120" s="13" t="n">
        <x:v>0.06936886533275402</x:v>
      </x:c>
      <x:c r="K120" s="13" t="n">
        <x:v>0.007821344831489923</x:v>
      </x:c>
      <x:c r="L120" s="13" t="n">
        <x:v>0.012922210450130329</x:v>
      </x:c>
      <x:c r="M120" s="13" t="n">
        <x:v>3115.2923377049156</x:v>
      </x:c>
      <x:c r="N120" s="13" t="n">
        <x:v>3115.2496778182685</x:v>
      </x:c>
      <x:c r="O120" s="10" t="str">
        <x:v>completed</x:v>
      </x:c>
      <x:c r="P120" s="11" t="n">
        <x:v>5000</x:v>
      </x:c>
      <x:c r="Q120" s="11" t="n">
        <x:v>10000</x:v>
      </x:c>
      <x:c r="R120" s="11" t="n">
        <x:v>1</x:v>
      </x:c>
      <x:c r="S120" s="10" t="str">
        <x:v>beta</x:v>
      </x:c>
      <x:c r="T120" s="13" t="n">
        <x:v>4.8</x:v>
      </x:c>
      <x:c r="U120" s="13" t="n">
        <x:v>4.740156173706055</x:v>
      </x:c>
      <x:c r="V120" s="13" t="n">
        <x:v>0.059843826293945135</x:v>
      </x:c>
      <x:c r="W120" s="13" t="str">
        <x:v>tau0</x:v>
      </x:c>
      <x:c r="X120" s="13" t="n">
        <x:v>1.13</x:v>
      </x:c>
      <x:c r="Y120" s="13" t="n">
        <x:v>1.2077354192733765</x:v>
      </x:c>
      <x:c r="Z120" s="13" t="n">
        <x:v>0.07773541927337657</x:v>
      </x:c>
      <x:c r="AA120" s="10" t="str">
        <x:v>nicholson_three_method_inverse_20260822_064851_seed_20260901</x:v>
      </x:c>
    </x:row>
    <x:row r="121">
      <x:c r="A121" s="14" t="str">
        <x:v>Nicholson</x:v>
      </x:c>
      <x:c r="B121" s="15" t="n">
        <x:v>20260901</x:v>
      </x:c>
      <x:c r="C121" s="15" t="n">
        <x:v>9</x:v>
      </x:c>
      <x:c r="D121" s="16" t="n">
        <x:v>0.05</x:v>
      </x:c>
      <x:c r="E121" s="15" t="n">
        <x:v>1</x:v>
      </x:c>
      <x:c r="F121" s="15" t="n">
        <x:v>20</x:v>
      </x:c>
      <x:c r="G121" s="15" t="n">
        <x:v>4</x:v>
      </x:c>
      <x:c r="H121" s="15" t="n">
        <x:v>80</x:v>
      </x:c>
      <x:c r="I121" s="17" t="n">
        <x:v>0.44180163268038</x:v>
      </x:c>
      <x:c r="J121" s="17" t="n">
        <x:v>0.26530358621293565</x:v>
      </x:c>
      <x:c r="K121" s="17" t="n">
        <x:v>0.0046520241496564195</x:v>
      </x:c>
      <x:c r="L121" s="17" t="n">
        <x:v>0.013305072500332799</x:v>
      </x:c>
      <x:c r="M121" s="17" t="n">
        <x:v>3265.187127680052</x:v>
      </x:c>
      <x:c r="N121" s="17" t="n">
        <x:v>3265.1486640549265</x:v>
      </x:c>
      <x:c r="O121" s="14" t="str">
        <x:v>completed</x:v>
      </x:c>
      <x:c r="P121" s="15" t="n">
        <x:v>5000</x:v>
      </x:c>
      <x:c r="Q121" s="15" t="n">
        <x:v>10000</x:v>
      </x:c>
      <x:c r="R121" s="15" t="n">
        <x:v>4</x:v>
      </x:c>
      <x:c r="S121" s="14" t="str">
        <x:v>beta</x:v>
      </x:c>
      <x:c r="T121" s="17" t="n">
        <x:v>4</x:v>
      </x:c>
      <x:c r="U121" s="17" t="n">
        <x:v>4.015542507171631</x:v>
      </x:c>
      <x:c r="V121" s="17" t="n">
        <x:v>0.01554250717163086</x:v>
      </x:c>
      <x:c r="W121" s="17" t="str">
        <x:v>tau0</x:v>
      </x:c>
      <x:c r="X121" s="17" t="n">
        <x:v>1.01</x:v>
      </x:c>
      <x:c r="Y121" s="17" t="n">
        <x:v>1.384873867034912</x:v>
      </x:c>
      <x:c r="Z121" s="17" t="n">
        <x:v>0.3748738670349121</x:v>
      </x:c>
      <x:c r="AA121" s="14" t="str">
        <x:v>nicholson_three_method_inverse_20260822_064851_seed_20260901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.670000076293945" hidden="0" customWidth="1"/>
    <x:col min="3" max="3" width="2" hidden="0" customWidth="1"/>
    <x:col min="4" max="4" width="7.21999979019165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7" hidden="0" customWidth="1"/>
    <x:col min="16" max="16" width="17" hidden="0" customWidth="1"/>
  </x:cols>
  <x:sheetData>
    <x:row r="1" ht="42" customHeight="1">
      <x:c r="A1" s="9" t="str">
        <x:v>system</x:v>
      </x:c>
      <x:c r="B1" s="9" t="str">
        <x:v>noise_standard_deviation</x:v>
      </x:c>
      <x:c r="C1" s="9" t="str">
        <x:v>n</x:v>
      </x:c>
      <x:c r="D1" s="9" t="str">
        <x:v>completed</x:v>
      </x:c>
      <x:c r="E1" s="9" t="str">
        <x:v>parameter_nrmse_mean</x:v>
      </x:c>
      <x:c r="F1" s="9" t="str">
        <x:v>parameter_nrmse_sd</x:v>
      </x:c>
      <x:c r="G1" s="9" t="str">
        <x:v>parameter_nrmse_median</x:v>
      </x:c>
      <x:c r="H1" s="9" t="str">
        <x:v>parameter_nrmse_q1</x:v>
      </x:c>
      <x:c r="I1" s="9" t="str">
        <x:v>parameter_nrmse_q3</x:v>
      </x:c>
      <x:c r="J1" s="9" t="str">
        <x:v>online_seconds_mean</x:v>
      </x:c>
      <x:c r="K1" s="9" t="str">
        <x:v>online_seconds_sd</x:v>
      </x:c>
      <x:c r="L1" s="9" t="str">
        <x:v>online_seconds_median</x:v>
      </x:c>
      <x:c r="M1" s="9" t="str">
        <x:v>online_seconds_q1</x:v>
      </x:c>
      <x:c r="N1" s="9" t="str">
        <x:v>online_seconds_q3</x:v>
      </x:c>
      <x:c r="O1" s="9" t="str">
        <x:v>direct_l2_median</x:v>
      </x:c>
      <x:c r="P1" s="9" t="str">
        <x:v>pinn_l2_median</x:v>
      </x:c>
    </x:row>
    <x:row r="2">
      <x:c r="A2" s="23" t="str">
        <x:v>Competition</x:v>
      </x:c>
      <x:c r="B2" s="24" t="n">
        <x:v>0.005</x:v>
      </x:c>
      <x:c r="C2" s="25" t="n">
        <x:f>COUNTA('Raw'!I2:I11)</x:f>
        <x:v>10</x:v>
      </x:c>
      <x:c r="D2" s="25" t="n">
        <x:f>COUNTIF('Raw'!O2:O11,"completed")</x:f>
        <x:v>10</x:v>
      </x:c>
      <x:c r="E2" s="26" t="n">
        <x:f>AVERAGE('Raw'!I2:I11)</x:f>
        <x:v>0.012535165873251397</x:v>
      </x:c>
      <x:c r="F2" s="26" t="n">
        <x:f>STDEV.S('Raw'!I2:I11)</x:f>
        <x:v>0.006072177890895736</x:v>
      </x:c>
      <x:c r="G2" s="26" t="n">
        <x:f>MEDIAN('Raw'!I2:I11)</x:f>
        <x:v>0.013561547494504486</x:v>
      </x:c>
      <x:c r="H2" s="26" t="n">
        <x:f>QUARTILE.INC('Raw'!I2:I11,1)</x:f>
        <x:v>0.00732378404802</x:v>
      </x:c>
      <x:c r="I2" s="26" t="n">
        <x:f>QUARTILE.INC('Raw'!I2:I11,3)</x:f>
        <x:v>0.01714460602571</x:v>
      </x:c>
      <x:c r="J2" s="27" t="n">
        <x:f>AVERAGE('Raw'!M2:M11)</x:f>
        <x:v>1590.0354637306184</x:v>
      </x:c>
      <x:c r="K2" s="27" t="n">
        <x:f>STDEV.S('Raw'!M2:M11)</x:f>
        <x:v>583.5569071201672</x:v>
      </x:c>
      <x:c r="L2" s="27" t="n">
        <x:f>MEDIAN('Raw'!M2:M11)</x:f>
        <x:v>1328.2997266547754</x:v>
      </x:c>
      <x:c r="M2" s="27" t="n">
        <x:f>QUARTILE.INC('Raw'!M2:M11,1)</x:f>
        <x:v>1107.8306616561022</x:v>
      </x:c>
      <x:c r="N2" s="27" t="n">
        <x:f>QUARTILE.INC('Raw'!M2:M11,3)</x:f>
        <x:v>2187.375293796067</x:v>
      </x:c>
      <x:c r="O2" s="26" t="n">
        <x:f>MEDIAN('Raw'!K2:K11)</x:f>
        <x:v>0.00157970339784071</x:v>
      </x:c>
      <x:c r="P2" s="26" t="n">
        <x:f>MEDIAN('Raw'!L2:L11)</x:f>
        <x:v>0.0028093660941173734</x:v>
      </x:c>
    </x:row>
    <x:row r="3">
      <x:c r="A3" s="23" t="str">
        <x:v>Competition</x:v>
      </x:c>
      <x:c r="B3" s="24" t="n">
        <x:v>0.01</x:v>
      </x:c>
      <x:c r="C3" s="25" t="n">
        <x:f>COUNTA('Raw'!I12:I21)</x:f>
        <x:v>10</x:v>
      </x:c>
      <x:c r="D3" s="25" t="n">
        <x:f>COUNTIF('Raw'!O12:O21,"completed")</x:f>
        <x:v>10</x:v>
      </x:c>
      <x:c r="E3" s="26" t="n">
        <x:f>AVERAGE('Raw'!I12:I21)</x:f>
        <x:v>0.023998914237235186</x:v>
      </x:c>
      <x:c r="F3" s="26" t="n">
        <x:f>STDEV.S('Raw'!I12:I21)</x:f>
        <x:v>0.013973575329992988</x:v>
      </x:c>
      <x:c r="G3" s="26" t="n">
        <x:f>MEDIAN('Raw'!I12:I21)</x:f>
        <x:v>0.021167261469811318</x:v>
      </x:c>
      <x:c r="H3" s="26" t="n">
        <x:f>QUARTILE.INC('Raw'!I12:I21,1)</x:f>
        <x:v>0.01657723274585</x:v>
      </x:c>
      <x:c r="I3" s="26" t="n">
        <x:f>QUARTILE.INC('Raw'!I12:I21,3)</x:f>
        <x:v>0.03263860198569</x:v>
      </x:c>
      <x:c r="J3" s="27" t="n">
        <x:f>AVERAGE('Raw'!M12:M21)</x:f>
        <x:v>4556.895383367594</x:v>
      </x:c>
      <x:c r="K3" s="27" t="n">
        <x:f>STDEV.S('Raw'!M12:M21)</x:f>
        <x:v>4521.095600835461</x:v>
      </x:c>
      <x:c r="L3" s="27" t="n">
        <x:f>MEDIAN('Raw'!M12:M21)</x:f>
        <x:v>3856.807244897587</x:v>
      </x:c>
      <x:c r="M3" s="27" t="n">
        <x:f>QUARTILE.INC('Raw'!M12:M21,1)</x:f>
        <x:v>1276.225142657524</x:v>
      </x:c>
      <x:c r="N3" s="27" t="n">
        <x:f>QUARTILE.INC('Raw'!M12:M21,3)</x:f>
        <x:v>5196.242750868434</x:v>
      </x:c>
      <x:c r="O3" s="26" t="n">
        <x:f>MEDIAN('Raw'!K12:K21)</x:f>
        <x:v>0.003382876071496344</x:v>
      </x:c>
      <x:c r="P3" s="26" t="n">
        <x:f>MEDIAN('Raw'!L12:L21)</x:f>
        <x:v>0.005635309608742564</x:v>
      </x:c>
    </x:row>
    <x:row r="4">
      <x:c r="A4" s="23" t="str">
        <x:v>Competition</x:v>
      </x:c>
      <x:c r="B4" s="24" t="n">
        <x:v>0.02</x:v>
      </x:c>
      <x:c r="C4" s="25" t="n">
        <x:f>COUNTA('Raw'!I22:I31)</x:f>
        <x:v>10</x:v>
      </x:c>
      <x:c r="D4" s="25" t="n">
        <x:f>COUNTIF('Raw'!O22:O31,"completed")</x:f>
        <x:v>10</x:v>
      </x:c>
      <x:c r="E4" s="26" t="n">
        <x:f>AVERAGE('Raw'!I22:I31)</x:f>
        <x:v>0.045709442965476944</x:v>
      </x:c>
      <x:c r="F4" s="26" t="n">
        <x:f>STDEV.S('Raw'!I22:I31)</x:f>
        <x:v>0.018098108785911463</x:v>
      </x:c>
      <x:c r="G4" s="26" t="n">
        <x:f>MEDIAN('Raw'!I22:I31)</x:f>
        <x:v>0.043916653110369915</x:v>
      </x:c>
      <x:c r="H4" s="26" t="n">
        <x:f>QUARTILE.INC('Raw'!I22:I31,1)</x:f>
        <x:v>0.03642822352602</x:v>
      </x:c>
      <x:c r="I4" s="26" t="n">
        <x:f>QUARTILE.INC('Raw'!I22:I31,3)</x:f>
        <x:v>0.05517343607394</x:v>
      </x:c>
      <x:c r="J4" s="27" t="n">
        <x:f>AVERAGE('Raw'!M22:M31)</x:f>
        <x:v>3974.1562930680348</x:v>
      </x:c>
      <x:c r="K4" s="27" t="n">
        <x:f>STDEV.S('Raw'!M22:M31)</x:f>
        <x:v>500.772237961137</x:v>
      </x:c>
      <x:c r="L4" s="27" t="n">
        <x:f>MEDIAN('Raw'!M22:M31)</x:f>
        <x:v>4169.2604153521825</x:v>
      </x:c>
      <x:c r="M4" s="27" t="n">
        <x:f>QUARTILE.INC('Raw'!M22:M31,1)</x:f>
        <x:v>3629.3334107532864</x:v>
      </x:c>
      <x:c r="N4" s="27" t="n">
        <x:f>QUARTILE.INC('Raw'!M22:M31,3)</x:f>
        <x:v>4311.724163054139</x:v>
      </x:c>
      <x:c r="O4" s="26" t="n">
        <x:f>MEDIAN('Raw'!K22:K31)</x:f>
        <x:v>0.006803692705307429</x:v>
      </x:c>
      <x:c r="P4" s="26" t="n">
        <x:f>MEDIAN('Raw'!L22:L31)</x:f>
        <x:v>0.011143808021677214</x:v>
      </x:c>
    </x:row>
    <x:row r="5">
      <x:c r="A5" s="23" t="str">
        <x:v>Competition</x:v>
      </x:c>
      <x:c r="B5" s="24" t="n">
        <x:v>0.05</x:v>
      </x:c>
      <x:c r="C5" s="25" t="n">
        <x:f>COUNTA('Raw'!I32:I41)</x:f>
        <x:v>10</x:v>
      </x:c>
      <x:c r="D5" s="25" t="n">
        <x:f>COUNTIF('Raw'!O32:O41,"completed")</x:f>
        <x:v>10</x:v>
      </x:c>
      <x:c r="E5" s="26" t="n">
        <x:f>AVERAGE('Raw'!I32:I41)</x:f>
        <x:v>0.11117676931849325</x:v>
      </x:c>
      <x:c r="F5" s="26" t="n">
        <x:f>STDEV.S('Raw'!I32:I41)</x:f>
        <x:v>0.048141074663727704</x:v>
      </x:c>
      <x:c r="G5" s="26" t="n">
        <x:f>MEDIAN('Raw'!I32:I41)</x:f>
        <x:v>0.10410082204678492</x:v>
      </x:c>
      <x:c r="H5" s="26" t="n">
        <x:f>QUARTILE.INC('Raw'!I32:I41,1)</x:f>
        <x:v>0.09552652892164</x:v>
      </x:c>
      <x:c r="I5" s="26" t="n">
        <x:f>QUARTILE.INC('Raw'!I32:I41,3)</x:f>
        <x:v>0.14991613600175</x:v>
      </x:c>
      <x:c r="J5" s="27" t="n">
        <x:f>AVERAGE('Raw'!M32:M41)</x:f>
        <x:v>9747.82670767149</x:v>
      </x:c>
      <x:c r="K5" s="27" t="n">
        <x:f>STDEV.S('Raw'!M32:M41)</x:f>
        <x:v>5025.8471497335995</x:v>
      </x:c>
      <x:c r="L5" s="27" t="n">
        <x:f>MEDIAN('Raw'!M32:M41)</x:f>
        <x:v>9300.32190698688</x:v>
      </x:c>
      <x:c r="M5" s="27" t="n">
        <x:f>QUARTILE.INC('Raw'!M32:M41,1)</x:f>
        <x:v>6081.537096354528</x:v>
      </x:c>
      <x:c r="N5" s="27" t="n">
        <x:f>QUARTILE.INC('Raw'!M32:M41,3)</x:f>
        <x:v>12576.775251740472</x:v>
      </x:c>
      <x:c r="O5" s="26" t="n">
        <x:f>MEDIAN('Raw'!K32:K41)</x:f>
        <x:v>0.015400517964663716</x:v>
      </x:c>
      <x:c r="P5" s="26" t="n">
        <x:f>MEDIAN('Raw'!L32:L41)</x:f>
        <x:v>0.026287410456115566</x:v>
      </x:c>
    </x:row>
    <x:row r="6">
      <x:c r="A6" s="23" t="str">
        <x:v>Delayed SEI</x:v>
      </x:c>
      <x:c r="B6" s="24" t="n">
        <x:v>0.005</x:v>
      </x:c>
      <x:c r="C6" s="25" t="n">
        <x:f>COUNTA('Raw'!I42:I51)</x:f>
        <x:v>10</x:v>
      </x:c>
      <x:c r="D6" s="25" t="n">
        <x:f>COUNTIF('Raw'!O42:O51,"completed")</x:f>
        <x:v>10</x:v>
      </x:c>
      <x:c r="E6" s="26" t="n">
        <x:f>AVERAGE('Raw'!I42:I51)</x:f>
        <x:v>0.44875396284827157</x:v>
      </x:c>
      <x:c r="F6" s="26" t="n">
        <x:f>STDEV.S('Raw'!I42:I51)</x:f>
        <x:v>0.17497493755890256</x:v>
      </x:c>
      <x:c r="G6" s="26" t="n">
        <x:f>MEDIAN('Raw'!I42:I51)</x:f>
        <x:v>0.4586184830320411</x:v>
      </x:c>
      <x:c r="H6" s="26" t="n">
        <x:f>QUARTILE.INC('Raw'!I42:I51,1)</x:f>
        <x:v>0.32376434715512</x:v>
      </x:c>
      <x:c r="I6" s="26" t="n">
        <x:f>QUARTILE.INC('Raw'!I42:I51,3)</x:f>
        <x:v>0.57422262762071</x:v>
      </x:c>
      <x:c r="J6" s="27" t="n">
        <x:f>AVERAGE('Raw'!M42:M51)</x:f>
        <x:v>2944.7779656563885</x:v>
      </x:c>
      <x:c r="K6" s="27" t="n">
        <x:f>STDEV.S('Raw'!M42:M51)</x:f>
        <x:v>966.5020171987874</x:v>
      </x:c>
      <x:c r="L6" s="27" t="n">
        <x:f>MEDIAN('Raw'!M42:M51)</x:f>
        <x:v>3020.781450060196</x:v>
      </x:c>
      <x:c r="M6" s="27" t="n">
        <x:f>QUARTILE.INC('Raw'!M42:M51,1)</x:f>
        <x:v>2212.3723155246116</x:v>
      </x:c>
      <x:c r="N6" s="27" t="n">
        <x:f>QUARTILE.INC('Raw'!M42:M51,3)</x:f>
        <x:v>3507.1242336996365</x:v>
      </x:c>
      <x:c r="O6" s="26" t="n">
        <x:f>MEDIAN('Raw'!K42:K51)</x:f>
        <x:v>0.03477159237620302</x:v>
      </x:c>
      <x:c r="P6" s="26" t="n">
        <x:f>MEDIAN('Raw'!L42:L51)</x:f>
        <x:v>0.004174561619082634</x:v>
      </x:c>
    </x:row>
    <x:row r="7">
      <x:c r="A7" s="23" t="str">
        <x:v>Delayed SEI</x:v>
      </x:c>
      <x:c r="B7" s="24" t="n">
        <x:v>0.01</x:v>
      </x:c>
      <x:c r="C7" s="25" t="n">
        <x:f>COUNTA('Raw'!I52:I61)</x:f>
        <x:v>10</x:v>
      </x:c>
      <x:c r="D7" s="25" t="n">
        <x:f>COUNTIF('Raw'!O52:O61,"completed")</x:f>
        <x:v>10</x:v>
      </x:c>
      <x:c r="E7" s="26" t="n">
        <x:f>AVERAGE('Raw'!I52:I61)</x:f>
        <x:v>0.4096359572249616</x:v>
      </x:c>
      <x:c r="F7" s="26" t="n">
        <x:f>STDEV.S('Raw'!I52:I61)</x:f>
        <x:v>0.1529577029628028</x:v>
      </x:c>
      <x:c r="G7" s="26" t="n">
        <x:f>MEDIAN('Raw'!I52:I61)</x:f>
        <x:v>0.40663703843773513</x:v>
      </x:c>
      <x:c r="H7" s="26" t="n">
        <x:f>QUARTILE.INC('Raw'!I52:I61,1)</x:f>
        <x:v>0.37821113536818</x:v>
      </x:c>
      <x:c r="I7" s="26" t="n">
        <x:f>QUARTILE.INC('Raw'!I52:I61,3)</x:f>
        <x:v>0.53803314672724</x:v>
      </x:c>
      <x:c r="J7" s="27" t="n">
        <x:f>AVERAGE('Raw'!M52:M61)</x:f>
        <x:v>1811.0503224841784</x:v>
      </x:c>
      <x:c r="K7" s="27" t="n">
        <x:f>STDEV.S('Raw'!M52:M61)</x:f>
        <x:v>991.2488488889755</x:v>
      </x:c>
      <x:c r="L7" s="27" t="n">
        <x:f>MEDIAN('Raw'!M52:M61)</x:f>
        <x:v>1433.705608697841</x:v>
      </x:c>
      <x:c r="M7" s="27" t="n">
        <x:f>QUARTILE.INC('Raw'!M52:M61,1)</x:f>
        <x:v>1323.8557234259788</x:v>
      </x:c>
      <x:c r="N7" s="27" t="n">
        <x:f>QUARTILE.INC('Raw'!M52:M61,3)</x:f>
        <x:v>1571.5117659686364</x:v>
      </x:c>
      <x:c r="O7" s="26" t="n">
        <x:f>MEDIAN('Raw'!K52:K61)</x:f>
        <x:v>0.04038692193343453</x:v>
      </x:c>
      <x:c r="P7" s="26" t="n">
        <x:f>MEDIAN('Raw'!L52:L61)</x:f>
        <x:v>0.008962691004941665</x:v>
      </x:c>
    </x:row>
    <x:row r="8">
      <x:c r="A8" s="23" t="str">
        <x:v>Delayed SEI</x:v>
      </x:c>
      <x:c r="B8" s="24" t="n">
        <x:v>0.02</x:v>
      </x:c>
      <x:c r="C8" s="25" t="n">
        <x:f>COUNTA('Raw'!I62:I71)</x:f>
        <x:v>10</x:v>
      </x:c>
      <x:c r="D8" s="25" t="n">
        <x:f>COUNTIF('Raw'!O62:O71,"completed")</x:f>
        <x:v>10</x:v>
      </x:c>
      <x:c r="E8" s="26" t="n">
        <x:f>AVERAGE('Raw'!I62:I71)</x:f>
        <x:v>0.4409440018205103</x:v>
      </x:c>
      <x:c r="F8" s="26" t="n">
        <x:f>STDEV.S('Raw'!I62:I71)</x:f>
        <x:v>0.16665823487142184</x:v>
      </x:c>
      <x:c r="G8" s="26" t="n">
        <x:f>MEDIAN('Raw'!I62:I71)</x:f>
        <x:v>0.4591932688825876</x:v>
      </x:c>
      <x:c r="H8" s="26" t="n">
        <x:f>QUARTILE.INC('Raw'!I62:I71,1)</x:f>
        <x:v>0.33814951423971</x:v>
      </x:c>
      <x:c r="I8" s="26" t="n">
        <x:f>QUARTILE.INC('Raw'!I62:I71,3)</x:f>
        <x:v>0.57228730559553</x:v>
      </x:c>
      <x:c r="J8" s="27" t="n">
        <x:f>AVERAGE('Raw'!M62:M71)</x:f>
        <x:v>3259.6596613824368</x:v>
      </x:c>
      <x:c r="K8" s="27" t="n">
        <x:f>STDEV.S('Raw'!M62:M71)</x:f>
        <x:v>1858.3632419955945</x:v>
      </x:c>
      <x:c r="L8" s="27" t="n">
        <x:f>MEDIAN('Raw'!M62:M71)</x:f>
        <x:v>2354.7557012191974</x:v>
      </x:c>
      <x:c r="M8" s="27" t="n">
        <x:f>QUARTILE.INC('Raw'!M62:M71,1)</x:f>
        <x:v>2164.3652817099355</x:v>
      </x:c>
      <x:c r="N8" s="27" t="n">
        <x:f>QUARTILE.INC('Raw'!M62:M71,3)</x:f>
        <x:v>4407.6511749083875</x:v>
      </x:c>
      <x:c r="O8" s="26" t="n">
        <x:f>MEDIAN('Raw'!K62:K71)</x:f>
        <x:v>0.02871569025465926</x:v>
      </x:c>
      <x:c r="P8" s="26" t="n">
        <x:f>MEDIAN('Raw'!L62:L71)</x:f>
        <x:v>0.02346343678036967</x:v>
      </x:c>
    </x:row>
    <x:row r="9">
      <x:c r="A9" s="23" t="str">
        <x:v>Delayed SEI</x:v>
      </x:c>
      <x:c r="B9" s="24" t="n">
        <x:v>0.05</x:v>
      </x:c>
      <x:c r="C9" s="25" t="n">
        <x:f>COUNTA('Raw'!I72:I81)</x:f>
        <x:v>10</x:v>
      </x:c>
      <x:c r="D9" s="25" t="n">
        <x:f>COUNTIF('Raw'!O72:O81,"completed")</x:f>
        <x:v>10</x:v>
      </x:c>
      <x:c r="E9" s="26" t="n">
        <x:f>AVERAGE('Raw'!I72:I81)</x:f>
        <x:v>0.4367893039136681</x:v>
      </x:c>
      <x:c r="F9" s="26" t="n">
        <x:f>STDEV.S('Raw'!I72:I81)</x:f>
        <x:v>0.21595476649172998</x:v>
      </x:c>
      <x:c r="G9" s="26" t="n">
        <x:f>MEDIAN('Raw'!I72:I81)</x:f>
        <x:v>0.4024641678045324</x:v>
      </x:c>
      <x:c r="H9" s="26" t="n">
        <x:f>QUARTILE.INC('Raw'!I72:I81,1)</x:f>
        <x:v>0.32762733292239</x:v>
      </x:c>
      <x:c r="I9" s="26" t="n">
        <x:f>QUARTILE.INC('Raw'!I72:I81,3)</x:f>
        <x:v>0.58864547089034</x:v>
      </x:c>
      <x:c r="J9" s="27" t="n">
        <x:f>AVERAGE('Raw'!M72:M81)</x:f>
        <x:v>2470.502018974442</x:v>
      </x:c>
      <x:c r="K9" s="27" t="n">
        <x:f>STDEV.S('Raw'!M72:M81)</x:f>
        <x:v>342.8679186953232</x:v>
      </x:c>
      <x:c r="L9" s="27" t="n">
        <x:f>MEDIAN('Raw'!M72:M81)</x:f>
        <x:v>2383.4963899659924</x:v>
      </x:c>
      <x:c r="M9" s="27" t="n">
        <x:f>QUARTILE.INC('Raw'!M72:M81,1)</x:f>
        <x:v>2323.342885074904</x:v>
      </x:c>
      <x:c r="N9" s="27" t="n">
        <x:f>QUARTILE.INC('Raw'!M72:M81,3)</x:f>
        <x:v>2500.4036794570275</x:v>
      </x:c>
      <x:c r="O9" s="26" t="n">
        <x:f>MEDIAN('Raw'!K72:K81)</x:f>
        <x:v>0.03391330099375102</x:v>
      </x:c>
      <x:c r="P9" s="26" t="n">
        <x:f>MEDIAN('Raw'!L72:L81)</x:f>
        <x:v>0.056762953116403864</x:v>
      </x:c>
    </x:row>
    <x:row r="10">
      <x:c r="A10" s="23" t="str">
        <x:v>Nicholson</x:v>
      </x:c>
      <x:c r="B10" s="24" t="n">
        <x:v>0.005</x:v>
      </x:c>
      <x:c r="C10" s="25" t="n">
        <x:f>COUNTA('Raw'!I82:I91)</x:f>
        <x:v>10</x:v>
      </x:c>
      <x:c r="D10" s="25" t="n">
        <x:f>COUNTIF('Raw'!O82:O91,"completed")</x:f>
        <x:v>10</x:v>
      </x:c>
      <x:c r="E10" s="26" t="n">
        <x:f>AVERAGE('Raw'!I82:I91)</x:f>
        <x:v>0.05277069786665574</x:v>
      </x:c>
      <x:c r="F10" s="26" t="n">
        <x:f>STDEV.S('Raw'!I82:I91)</x:f>
        <x:v>0.08553084404527132</x:v>
      </x:c>
      <x:c r="G10" s="26" t="n">
        <x:f>MEDIAN('Raw'!I82:I91)</x:f>
        <x:v>0.016184869122053434</x:v>
      </x:c>
      <x:c r="H10" s="26" t="n">
        <x:f>QUARTILE.INC('Raw'!I82:I91,1)</x:f>
        <x:v>0.00892094878749</x:v>
      </x:c>
      <x:c r="I10" s="26" t="n">
        <x:f>QUARTILE.INC('Raw'!I82:I91,3)</x:f>
        <x:v>0.03724112220254</x:v>
      </x:c>
      <x:c r="J10" s="27" t="n">
        <x:f>AVERAGE('Raw'!M82:M91)</x:f>
        <x:v>4968.123940428346</x:v>
      </x:c>
      <x:c r="K10" s="27" t="n">
        <x:f>STDEV.S('Raw'!M82:M91)</x:f>
        <x:v>2405.3124302542624</x:v>
      </x:c>
      <x:c r="L10" s="27" t="n">
        <x:f>MEDIAN('Raw'!M82:M91)</x:f>
        <x:v>3931.5006924215704</x:v>
      </x:c>
      <x:c r="M10" s="27" t="n">
        <x:f>QUARTILE.INC('Raw'!M82:M91,1)</x:f>
        <x:v>3325.763579172897</x:v>
      </x:c>
      <x:c r="N10" s="27" t="n">
        <x:f>QUARTILE.INC('Raw'!M82:M91,3)</x:f>
        <x:v>6365.2314356399</x:v>
      </x:c>
      <x:c r="O10" s="26" t="n">
        <x:f>MEDIAN('Raw'!K82:K91)</x:f>
        <x:v>0.00045630245451458836</x:v>
      </x:c>
      <x:c r="P10" s="26" t="n">
        <x:f>MEDIAN('Raw'!L82:L91)</x:f>
        <x:v>0.001195649370458431</x:v>
      </x:c>
    </x:row>
    <x:row r="11">
      <x:c r="A11" s="23" t="str">
        <x:v>Nicholson</x:v>
      </x:c>
      <x:c r="B11" s="24" t="n">
        <x:v>0.01</x:v>
      </x:c>
      <x:c r="C11" s="25" t="n">
        <x:f>COUNTA('Raw'!I92:I101)</x:f>
        <x:v>10</x:v>
      </x:c>
      <x:c r="D11" s="25" t="n">
        <x:f>COUNTIF('Raw'!O92:O101,"completed")</x:f>
        <x:v>10</x:v>
      </x:c>
      <x:c r="E11" s="26" t="n">
        <x:f>AVERAGE('Raw'!I92:I101)</x:f>
        <x:v>0.035979197410746885</x:v>
      </x:c>
      <x:c r="F11" s="26" t="n">
        <x:f>STDEV.S('Raw'!I92:I101)</x:f>
        <x:v>0.04429132447338956</x:v>
      </x:c>
      <x:c r="G11" s="26" t="n">
        <x:f>MEDIAN('Raw'!I92:I101)</x:f>
        <x:v>0.021271166873853564</x:v>
      </x:c>
      <x:c r="H11" s="26" t="n">
        <x:f>QUARTILE.INC('Raw'!I92:I101,1)</x:f>
        <x:v>0.00824295460108</x:v>
      </x:c>
      <x:c r="I11" s="26" t="n">
        <x:f>QUARTILE.INC('Raw'!I92:I101,3)</x:f>
        <x:v>0.04687690830832</x:v>
      </x:c>
      <x:c r="J11" s="27" t="n">
        <x:f>AVERAGE('Raw'!M92:M101)</x:f>
        <x:v>9615.235755626578</x:v>
      </x:c>
      <x:c r="K11" s="27" t="n">
        <x:f>STDEV.S('Raw'!M92:M101)</x:f>
        <x:v>4896.752696986723</x:v>
      </x:c>
      <x:c r="L11" s="27" t="n">
        <x:f>MEDIAN('Raw'!M92:M101)</x:f>
        <x:v>8234.864654376404</x:v>
      </x:c>
      <x:c r="M11" s="27" t="n">
        <x:f>QUARTILE.INC('Raw'!M92:M101,1)</x:f>
        <x:v>5751.5448236793745</x:v>
      </x:c>
      <x:c r="N11" s="27" t="n">
        <x:f>QUARTILE.INC('Raw'!M92:M101,3)</x:f>
        <x:v>12775.725293387775</x:v>
      </x:c>
      <x:c r="O11" s="26" t="n">
        <x:f>MEDIAN('Raw'!K92:K101)</x:f>
        <x:v>0.001082169185813216</x:v>
      </x:c>
      <x:c r="P11" s="26" t="n">
        <x:f>MEDIAN('Raw'!L92:L101)</x:f>
        <x:v>0.0021394836778742205</x:v>
      </x:c>
    </x:row>
    <x:row r="12">
      <x:c r="A12" s="23" t="str">
        <x:v>Nicholson</x:v>
      </x:c>
      <x:c r="B12" s="24" t="n">
        <x:v>0.02</x:v>
      </x:c>
      <x:c r="C12" s="25" t="n">
        <x:f>COUNTA('Raw'!I102:I111)</x:f>
        <x:v>10</x:v>
      </x:c>
      <x:c r="D12" s="25" t="n">
        <x:f>COUNTIF('Raw'!O102:O111,"completed")</x:f>
        <x:v>10</x:v>
      </x:c>
      <x:c r="E12" s="26" t="n">
        <x:f>AVERAGE('Raw'!I102:I111)</x:f>
        <x:v>0.12845299923284972</x:v>
      </x:c>
      <x:c r="F12" s="26" t="n">
        <x:f>STDEV.S('Raw'!I102:I111)</x:f>
        <x:v>0.1340136786334194</x:v>
      </x:c>
      <x:c r="G12" s="26" t="n">
        <x:f>MEDIAN('Raw'!I102:I111)</x:f>
        <x:v>0.06628763062261173</x:v>
      </x:c>
      <x:c r="H12" s="26" t="n">
        <x:f>QUARTILE.INC('Raw'!I102:I111,1)</x:f>
        <x:v>0.03544262365048</x:v>
      </x:c>
      <x:c r="I12" s="26" t="n">
        <x:f>QUARTILE.INC('Raw'!I102:I111,3)</x:f>
        <x:v>0.18227894662851</x:v>
      </x:c>
      <x:c r="J12" s="27" t="n">
        <x:f>AVERAGE('Raw'!M102:M111)</x:f>
        <x:v>4768.763812025031</x:v>
      </x:c>
      <x:c r="K12" s="27" t="n">
        <x:f>STDEV.S('Raw'!M102:M111)</x:f>
        <x:v>2813.109937457938</x:v>
      </x:c>
      <x:c r="L12" s="27" t="n">
        <x:f>MEDIAN('Raw'!M102:M111)</x:f>
        <x:v>3438.7068789310288</x:v>
      </x:c>
      <x:c r="M12" s="27" t="n">
        <x:f>QUARTILE.INC('Raw'!M102:M111,1)</x:f>
        <x:v>3271.3225353065645</x:v>
      </x:c>
      <x:c r="N12" s="27" t="n">
        <x:f>QUARTILE.INC('Raw'!M102:M111,3)</x:f>
        <x:v>4948.091000521206</x:v>
      </x:c>
      <x:c r="O12" s="26" t="n">
        <x:f>MEDIAN('Raw'!K102:K111)</x:f>
        <x:v>0.0018911923624375633</x:v>
      </x:c>
      <x:c r="P12" s="26" t="n">
        <x:f>MEDIAN('Raw'!L102:L111)</x:f>
        <x:v>0.004555095853636828</x:v>
      </x:c>
    </x:row>
    <x:row r="13">
      <x:c r="A13" s="28" t="str">
        <x:v>Nicholson</x:v>
      </x:c>
      <x:c r="B13" s="29" t="n">
        <x:v>0.05</x:v>
      </x:c>
      <x:c r="C13" s="30" t="n">
        <x:f>COUNTA('Raw'!I112:I121)</x:f>
        <x:v>10</x:v>
      </x:c>
      <x:c r="D13" s="30" t="n">
        <x:f>COUNTIF('Raw'!O112:O121,"completed")</x:f>
        <x:v>10</x:v>
      </x:c>
      <x:c r="E13" s="31" t="n">
        <x:f>AVERAGE('Raw'!I112:I121)</x:f>
        <x:v>0.1057799648409139</x:v>
      </x:c>
      <x:c r="F13" s="31" t="n">
        <x:f>STDEV.S('Raw'!I112:I121)</x:f>
        <x:v>0.1215065198139796</x:v>
      </x:c>
      <x:c r="G13" s="31" t="n">
        <x:f>MEDIAN('Raw'!I112:I121)</x:f>
        <x:v>0.07633346654007969</x:v>
      </x:c>
      <x:c r="H13" s="31" t="n">
        <x:f>QUARTILE.INC('Raw'!I112:I121,1)</x:f>
        <x:v>0.04607584279289</x:v>
      </x:c>
      <x:c r="I13" s="31" t="n">
        <x:f>QUARTILE.INC('Raw'!I112:I121,3)</x:f>
        <x:v>0.0978201405832</x:v>
      </x:c>
      <x:c r="J13" s="32" t="n">
        <x:f>AVERAGE('Raw'!M112:M121)</x:f>
        <x:v>3955.028452781914</x:v>
      </x:c>
      <x:c r="K13" s="32" t="n">
        <x:f>STDEV.S('Raw'!M112:M121)</x:f>
        <x:v>849.3861681998364</x:v>
      </x:c>
      <x:c r="L13" s="32" t="n">
        <x:f>MEDIAN('Raw'!M112:M121)</x:f>
        <x:v>3589.0483460393734</x:v>
      </x:c>
      <x:c r="M13" s="32" t="n">
        <x:f>QUARTILE.INC('Raw'!M112:M121,1)</x:f>
        <x:v>3280.4877213824075</x:v>
      </x:c>
      <x:c r="N13" s="32" t="n">
        <x:f>QUARTILE.INC('Raw'!M112:M121,3)</x:f>
        <x:v>4430.726939765969</x:v>
      </x:c>
      <x:c r="O13" s="31" t="n">
        <x:f>MEDIAN('Raw'!K112:K121)</x:f>
        <x:v>0.0037329852487943812</x:v>
      </x:c>
      <x:c r="P13" s="31" t="n">
        <x:f>MEDIAN('Raw'!L112:L121)</x:f>
        <x:v>0.01153329595632329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2" hidden="0" customWidth="1"/>
    <x:col min="3" max="3" width="18" hidden="0" customWidth="1"/>
  </x:cols>
  <x:sheetData>
    <x:row r="1" ht="15" hidden="0" customHeight="1">
      <x:c r="A1" s="37" t="str">
        <x:v>field</x:v>
      </x:c>
      <x:c r="B1" s="37" t="str">
        <x:v>value</x:v>
      </x:c>
      <x:c r="C1" s="37" t="str">
        <x:v>scope</x:v>
      </x:c>
    </x:row>
    <x:row r="2" ht="15" hidden="0" customHeight="1">
      <x:c r="A2" s="38" t="str">
        <x:v>method</x:v>
      </x:c>
      <x:c r="B2" s="39" t="str">
        <x:v>PINN-DDE</x:v>
      </x:c>
      <x:c r="C2" s="39" t="str">
        <x:v>all systems</x:v>
      </x:c>
    </x:row>
    <x:row r="3" ht="15" hidden="0" customHeight="1">
      <x:c r="A3" s="38" t="str">
        <x:v>observation regime</x:v>
      </x:c>
      <x:c r="B3" s="39" t="str">
        <x:v>full state</x:v>
      </x:c>
      <x:c r="C3" s="39" t="str">
        <x:v>all systems</x:v>
      </x:c>
    </x:row>
    <x:row r="4" ht="15" hidden="0" customHeight="1">
      <x:c r="A4" s="38" t="str">
        <x:v>histories per request</x:v>
      </x:c>
      <x:c r="B4" s="39" t="n">
        <x:v>1</x:v>
      </x:c>
      <x:c r="C4" s="39" t="str">
        <x:v>all systems</x:v>
      </x:c>
    </x:row>
    <x:row r="5" ht="15" hidden="0" customHeight="1">
      <x:c r="A5" s="38" t="str">
        <x:v>observation times per history</x:v>
      </x:c>
      <x:c r="B5" s="39" t="n">
        <x:v>20</x:v>
      </x:c>
      <x:c r="C5" s="39" t="str">
        <x:v>all systems</x:v>
      </x:c>
    </x:row>
    <x:row r="6" ht="15" hidden="0" customHeight="1">
      <x:c r="A6" s="38" t="str">
        <x:v>noise standard deviations</x:v>
      </x:c>
      <x:c r="B6" s="39" t="str">
        <x:v>0.005, 0.010, 0.020, 0.050</x:v>
      </x:c>
      <x:c r="C6" s="39" t="str">
        <x:v>all systems</x:v>
      </x:c>
    </x:row>
    <x:row r="7" ht="15" hidden="0" customHeight="1">
      <x:c r="A7" s="38" t="str">
        <x:v>cases per condition</x:v>
      </x:c>
      <x:c r="B7" s="39" t="n">
        <x:v>10</x:v>
      </x:c>
      <x:c r="C7" s="39" t="str">
        <x:v>all systems</x:v>
      </x:c>
    </x:row>
    <x:row r="8" ht="15" hidden="0" customHeight="1">
      <x:c r="A8" s="38" t="str">
        <x:v>completed requests</x:v>
      </x:c>
      <x:c r="B8" s="39" t="str">
        <x:v>120/120</x:v>
      </x:c>
      <x:c r="C8" s="39" t="str">
        <x:v>all systems</x:v>
      </x:c>
    </x:row>
    <x:row r="9" ht="15" hidden="0" customHeight="1">
      <x:c r="A9" s="38" t="str">
        <x:v>state network</x:v>
      </x:c>
      <x:c r="B9" s="39" t="str">
        <x:v>one scalar Tanh network per state; hidden widths 20-40-20</x:v>
      </x:c>
      <x:c r="C9" s="39" t="str">
        <x:v>all systems</x:v>
      </x:c>
    </x:row>
    <x:row r="10" ht="15" hidden="0" customHeight="1">
      <x:c r="A10" s="38" t="str">
        <x:v>parameter initializations</x:v>
      </x:c>
      <x:c r="B10" s="39" t="str">
        <x:v>5 Latin-hypercube restarts</x:v>
      </x:c>
      <x:c r="C10" s="39" t="str">
        <x:v>all systems</x:v>
      </x:c>
    </x:row>
    <x:row r="11" ht="15" hidden="0" customHeight="1">
      <x:c r="A11" s="38" t="str">
        <x:v>collocation points</x:v>
      </x:c>
      <x:c r="B11" s="39" t="n">
        <x:v>5000</x:v>
      </x:c>
      <x:c r="C11" s="39" t="str">
        <x:v>all systems</x:v>
      </x:c>
    </x:row>
    <x:row r="12" ht="15" hidden="0" customHeight="1">
      <x:c r="A12" s="38" t="str">
        <x:v>Adam</x:v>
      </x:c>
      <x:c r="B12" s="39" t="str">
        <x:v>5000 steps; learning rate 0.001</x:v>
      </x:c>
      <x:c r="C12" s="39" t="str">
        <x:v>all systems</x:v>
      </x:c>
    </x:row>
    <x:row r="13" ht="15" hidden="0" customHeight="1">
      <x:c r="A13" s="38" t="str">
        <x:v>L-BFGS</x:v>
      </x:c>
      <x:c r="B13" s="39" t="str">
        <x:v>at most 10000 steps; history size 100</x:v>
      </x:c>
      <x:c r="C13" s="39" t="str">
        <x:v>all systems</x:v>
      </x:c>
    </x:row>
    <x:row r="14" ht="15" hidden="0" customHeight="1">
      <x:c r="A14" s="38" t="str">
        <x:v>selection rule</x:v>
      </x:c>
      <x:c r="B14" s="39" t="str">
        <x:v>smallest inverse objective; true parameters not used</x:v>
      </x:c>
      <x:c r="C14" s="39" t="str">
        <x:v>all systems</x:v>
      </x:c>
    </x:row>
    <x:row r="15" ht="15" hidden="0" customHeight="1">
      <x:c r="A15" s="38" t="str">
        <x:v>software</x:v>
      </x:c>
      <x:c r="B15" s="39" t="str">
        <x:v>Python 3.10.20; PyTorch 2.5.1+cu121; CUDA 12.1</x:v>
      </x:c>
      <x:c r="C15" s="39" t="str">
        <x:v>all systems</x:v>
      </x:c>
    </x:row>
    <x:row r="16" ht="15" hidden="0" customHeight="1">
      <x:c r="A16" s="38" t="str">
        <x:v>hardware record</x:v>
      </x:c>
      <x:c r="B16" s="39" t="str">
        <x:v>one visible CUDA device per request; exact GPU model absent from archived run metadata</x:v>
      </x:c>
      <x:c r="C16" s="39" t="str">
        <x:v>all systems</x:v>
      </x:c>
    </x:row>
    <x:row r="17" ht="15" hidden="0" customHeight="1">
      <x:c r="A17" s="38" t="str">
        <x:v>experimental seed</x:v>
      </x:c>
      <x:c r="B17" s="39" t="n">
        <x:v>20261001</x:v>
      </x:c>
      <x:c r="C17" s="39" t="str">
        <x:v>Competition</x:v>
      </x:c>
    </x:row>
    <x:row r="18" ht="15" hidden="0" customHeight="1">
      <x:c r="A18" s="38" t="str">
        <x:v>experimental seed</x:v>
      </x:c>
      <x:c r="B18" s="39" t="n">
        <x:v>20260901</x:v>
      </x:c>
      <x:c r="C18" s="39" t="str">
        <x:v>Delayed SEI</x:v>
      </x:c>
    </x:row>
    <x:row r="19" ht="15" hidden="0" customHeight="1">
      <x:c r="A19" s="38" t="str">
        <x:v>experimental seed</x:v>
      </x:c>
      <x:c r="B19" s="39" t="n">
        <x:v>20260901</x:v>
      </x:c>
      <x:c r="C19" s="39" t="str">
        <x:v>Nicholson</x:v>
      </x:c>
    </x:row>
    <x:row r="20" ht="15" hidden="0" customHeight="1">
      <x:c r="A20" s="40" t="str">
        <x:v>timing boundary</x:v>
      </x:c>
      <x:c r="B20" s="41" t="str">
        <x:v>online_end_to_end_seconds includes per-request PINN-DDE optimization and output</x:v>
      </x:c>
      <x:c r="C20" s="41" t="str">
        <x:v>all systems</x:v>
      </x:c>
    </x:row>
  </x:sheetData>
  <x:pageMargins left="0.7" right="0.7" top="0.75" bottom="0.75" header="0.3" footer="0.3"/>
</x:worksheet>
</file>